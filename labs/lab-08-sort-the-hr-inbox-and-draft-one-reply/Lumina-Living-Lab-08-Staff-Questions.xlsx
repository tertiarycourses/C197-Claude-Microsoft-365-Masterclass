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Staff_Messages" sheetId="3" state="visible" r:id="rId3"/>
    <sheet xmlns:r="http://schemas.openxmlformats.org/officeDocument/2006/relationships" name="Management_Control" sheetId="4" state="visible" r:id="rId4"/>
    <sheet xmlns:r="http://schemas.openxmlformats.org/officeDocument/2006/relationships" name="Where_Info_Is_Kept" sheetId="5" state="visible" r:id="rId5"/>
    <sheet xmlns:r="http://schemas.openxmlformats.org/officeDocument/2006/relationships" name="Review_Log" sheetId="6" state="visible" r:id="rId6"/>
  </sheets>
  <definedNames>
    <definedName name="_xlnm.Print_Area" localSheetId="0">'Summary'!$B$2:$J$12</definedName>
    <definedName name="_xlnm.Print_Area" localSheetId="1">'Read_Me'!$B$2:$C$10</definedName>
    <definedName name="_xlnm._FilterDatabase" localSheetId="3" hidden="1">'Management_Control'!$A$1:$H$37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yyyy-mm-dd"/>
    <numFmt numFmtId="167" formatCode="dd-mmm-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1F6FEB"/>
    </font>
    <font>
      <name val="Arial"/>
      <b val="1"/>
      <color rgb="00FFFFFF"/>
    </font>
    <font>
      <name val="Arial"/>
      <b val="1"/>
      <color rgb="00FFFFFF"/>
      <sz val="18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EAF2FF"/>
      </patternFill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Lab08Control" displayName="tblLab08Control" ref="A1:H37" headerRowCount="1">
  <autoFilter ref="A1:H37"/>
  <tableColumns count="8">
    <tableColumn id="1" name="Month"/>
    <tableColumn id="2" name="Measure"/>
    <tableColumn id="3" name="Budget"/>
    <tableColumn id="4" name="Actual"/>
    <tableColumn id="5" name="Variance"/>
    <tableColumn id="6" name="Variance_Pct"/>
    <tableColumn id="7" name="Owner"/>
    <tableColumn id="8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9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78" customWidth="1" min="3" max="3"/>
  </cols>
  <sheetData>
    <row r="2">
      <c r="B2" s="1" t="inlineStr">
        <is>
          <t>LUMINA LIVING PTE LTD · SORT THE HR INBOX AND DRAFT ONE REPLY</t>
        </is>
      </c>
    </row>
    <row r="3"/>
    <row r="5">
      <c r="B5" s="2" t="inlineStr">
        <is>
          <t>Decision</t>
        </is>
      </c>
      <c r="C5" s="3" t="inlineStr">
        <is>
          <t>Which messages need a reply from HR, and which need someone else to decide?</t>
        </is>
      </c>
    </row>
    <row r="8">
      <c r="B8" s="4" t="inlineStr">
        <is>
          <t>Use Management_Control for detailed fictional measures and Review_Log for approvals.</t>
        </is>
      </c>
    </row>
    <row r="9"/>
  </sheetData>
  <mergeCells count="2">
    <mergeCell ref="B2:J3"/>
    <mergeCell ref="B8:J9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90" customWidth="1" min="3" max="3"/>
  </cols>
  <sheetData>
    <row r="2">
      <c r="B2" s="5" t="inlineStr">
        <is>
          <t>LUMINA LIVING PTE LTD · LAB 08</t>
        </is>
      </c>
    </row>
    <row r="3"/>
    <row r="5">
      <c r="B5" s="2" t="inlineStr">
        <is>
          <t>Activity</t>
        </is>
      </c>
      <c r="C5" s="6" t="inlineStr">
        <is>
          <t>Sort the HR Inbox and Draft One Reply</t>
        </is>
      </c>
    </row>
    <row r="6">
      <c r="B6" s="2" t="inlineStr">
        <is>
          <t>Decision</t>
        </is>
      </c>
      <c r="C6" s="6" t="inlineStr">
        <is>
          <t>Which messages need a reply from HR, and which need someone else to decide?</t>
        </is>
      </c>
    </row>
    <row r="7">
      <c r="B7" s="2" t="inlineStr">
        <is>
          <t>Department</t>
        </is>
      </c>
      <c r="C7" s="6" t="inlineStr">
        <is>
          <t>Human Resources</t>
        </is>
      </c>
    </row>
    <row r="8">
      <c r="B8" s="2" t="inlineStr">
        <is>
          <t>Sponsor</t>
        </is>
      </c>
      <c r="C8" s="6" t="inlineStr">
        <is>
          <t>Head of HR</t>
        </is>
      </c>
    </row>
    <row r="9">
      <c r="B9" s="2" t="inlineStr">
        <is>
          <t>Fictional data</t>
        </is>
      </c>
      <c r="C9" s="6" t="inlineStr">
        <is>
          <t>All names, messages and figures are synthetic training material.</t>
        </is>
      </c>
    </row>
    <row r="10">
      <c r="B10" s="2" t="inlineStr">
        <is>
          <t>Acceptance</t>
        </is>
      </c>
      <c r="C10" s="6" t="inlineStr">
        <is>
          <t>Every message has an answer in the Action column, one reply under 120 words is written in the Draft_Reply column, its approver is named, and the reply exists as an unsent draft in Outlook or the connector state is recorded. Nothing was sent.</t>
        </is>
      </c>
    </row>
  </sheetData>
  <mergeCells count="1">
    <mergeCell ref="B2:C3"/>
  </mergeCells>
  <pageMargins left="0.75" right="0.75" top="1" bottom="1" header="0.5" footer="0.5"/>
  <pageSetup fitToHeight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40" customWidth="1" min="4" max="4"/>
    <col width="70" customWidth="1" min="5" max="5"/>
    <col width="22" customWidth="1" min="6" max="6"/>
    <col width="40" customWidth="1" min="7" max="7"/>
  </cols>
  <sheetData>
    <row r="1">
      <c r="A1" s="7" t="inlineStr">
        <is>
          <t>Message_ID</t>
        </is>
      </c>
      <c r="B1" s="7" t="inlineStr">
        <is>
          <t>Received</t>
        </is>
      </c>
      <c r="C1" s="7" t="inlineStr">
        <is>
          <t>From</t>
        </is>
      </c>
      <c r="D1" s="7" t="inlineStr">
        <is>
          <t>Subject</t>
        </is>
      </c>
      <c r="E1" s="7" t="inlineStr">
        <is>
          <t>Message</t>
        </is>
      </c>
      <c r="F1" s="7" t="inlineStr">
        <is>
          <t>Category</t>
        </is>
      </c>
      <c r="G1" s="7" t="inlineStr">
        <is>
          <t>Draft_Reply</t>
        </is>
      </c>
    </row>
    <row r="2" ht="42" customHeight="1">
      <c r="A2" t="inlineStr">
        <is>
          <t>LL-MSG-001</t>
        </is>
      </c>
      <c r="B2" t="inlineStr">
        <is>
          <t>2026-08-10 08:41</t>
        </is>
      </c>
      <c r="C2" t="inlineStr">
        <is>
          <t>Priya Raman, Finance</t>
        </is>
      </c>
      <c r="D2" t="inlineStr">
        <is>
          <t>Carry-over leave — how many days?</t>
        </is>
      </c>
      <c r="E2" s="6" t="inlineStr">
        <is>
          <t>I have 7 days of annual leave left. The handbook says up to five days may be carried over but my manager says three. Which is right?</t>
        </is>
      </c>
      <c r="F2" t="inlineStr"/>
      <c r="G2" s="6" t="inlineStr"/>
    </row>
    <row r="3" ht="42" customHeight="1">
      <c r="A3" t="inlineStr">
        <is>
          <t>LL-MSG-002</t>
        </is>
      </c>
      <c r="B3" t="inlineStr">
        <is>
          <t>2026-08-10 09:05</t>
        </is>
      </c>
      <c r="C3" t="inlineStr">
        <is>
          <t>Marcus Tan, Warehouse</t>
        </is>
      </c>
      <c r="D3" t="inlineStr">
        <is>
          <t>Probation extended without explanation</t>
        </is>
      </c>
      <c r="E3" s="6" t="inlineStr">
        <is>
          <t>My probation was due to end last Friday. My supervisor says it has been extended by a month but could not tell me why or who approved it.</t>
        </is>
      </c>
      <c r="F3" t="inlineStr"/>
      <c r="G3" s="6" t="inlineStr"/>
    </row>
    <row r="4" ht="42" customHeight="1">
      <c r="A4" t="inlineStr">
        <is>
          <t>LL-MSG-003</t>
        </is>
      </c>
      <c r="B4" t="inlineStr">
        <is>
          <t>2026-08-10 09:20</t>
        </is>
      </c>
      <c r="C4" t="inlineStr">
        <is>
          <t>Facilities</t>
        </is>
      </c>
      <c r="D4" t="inlineStr">
        <is>
          <t>Office lift maintenance this Saturday</t>
        </is>
      </c>
      <c r="E4" s="6" t="inlineStr">
        <is>
          <t>The lifts will be out of service on Saturday from 7am to 1pm. No action needed.</t>
        </is>
      </c>
      <c r="F4" t="inlineStr"/>
      <c r="G4" s="6" t="inlineStr"/>
    </row>
    <row r="5" ht="42" customHeight="1">
      <c r="A5" t="inlineStr">
        <is>
          <t>LL-MSG-004</t>
        </is>
      </c>
      <c r="B5" t="inlineStr">
        <is>
          <t>2026-08-10 10:02</t>
        </is>
      </c>
      <c r="C5" t="inlineStr">
        <is>
          <t>Siti Rahman, Online</t>
        </is>
      </c>
      <c r="D5" t="inlineStr">
        <is>
          <t>Request to work from home two days a week</t>
        </is>
      </c>
      <c r="E5" s="6" t="inlineStr">
        <is>
          <t>I would like to work from home on Tuesdays and Thursdays. I understand a flexible working policy is being drafted. Can I apply now or should I wait?</t>
        </is>
      </c>
      <c r="F5" t="inlineStr"/>
      <c r="G5" s="6" t="inlineStr"/>
    </row>
    <row r="6" ht="42" customHeight="1">
      <c r="A6" t="inlineStr">
        <is>
          <t>LL-MSG-005</t>
        </is>
      </c>
      <c r="B6" t="inlineStr">
        <is>
          <t>2026-08-10 10:47</t>
        </is>
      </c>
      <c r="C6" t="inlineStr">
        <is>
          <t>Legal</t>
        </is>
      </c>
      <c r="D6" t="inlineStr">
        <is>
          <t>Sustainability wording needs review</t>
        </is>
      </c>
      <c r="E6" s="6" t="inlineStr">
        <is>
          <t>The draft sustainability section states an emissions reduction we cannot yet evidence. Please remove or qualify it before the pack is circulated.</t>
        </is>
      </c>
      <c r="F6" t="inlineStr"/>
      <c r="G6" s="6" t="inlineStr"/>
    </row>
    <row r="7" ht="42" customHeight="1">
      <c r="A7" t="inlineStr">
        <is>
          <t>LL-MSG-006</t>
        </is>
      </c>
      <c r="B7" t="inlineStr">
        <is>
          <t>2026-08-10 11:15</t>
        </is>
      </c>
      <c r="C7" t="inlineStr">
        <is>
          <t>IT Service Desk</t>
        </is>
      </c>
      <c r="D7" t="inlineStr">
        <is>
          <t>Scheduled password policy change</t>
        </is>
      </c>
      <c r="E7" s="6" t="inlineStr">
        <is>
          <t>Password rotation moves to 180 days from next month. This is for information only.</t>
        </is>
      </c>
      <c r="F7" t="inlineStr"/>
      <c r="G7" s="6" t="inlineStr"/>
    </row>
    <row r="8" ht="42" customHeight="1">
      <c r="A8" t="inlineStr">
        <is>
          <t>LL-MSG-007</t>
        </is>
      </c>
      <c r="B8" t="inlineStr">
        <is>
          <t>2026-08-10 11:52</t>
        </is>
      </c>
      <c r="C8" t="inlineStr">
        <is>
          <t>David Lim, Retail</t>
        </is>
      </c>
      <c r="D8" t="inlineStr">
        <is>
          <t>Notice period on resignation</t>
        </is>
      </c>
      <c r="E8" s="6" t="inlineStr">
        <is>
          <t>I am considering resigning. The handbook says one month after probation. Does that change if I am asked to leave earlier, and is pay in lieu possible?</t>
        </is>
      </c>
      <c r="F8" t="inlineStr"/>
      <c r="G8" s="6" t="inlineStr"/>
    </row>
    <row r="9" ht="42" customHeight="1">
      <c r="A9" t="inlineStr">
        <is>
          <t>LL-MSG-008</t>
        </is>
      </c>
      <c r="B9" t="inlineStr">
        <is>
          <t>2026-08-10 13:30</t>
        </is>
      </c>
      <c r="C9" t="inlineStr">
        <is>
          <t>Agency partner</t>
        </is>
      </c>
      <c r="D9" t="inlineStr">
        <is>
          <t>Creative concepts for Q1</t>
        </is>
      </c>
      <c r="E9" s="6" t="inlineStr">
        <is>
          <t>Attaching three creative routes for the Q1 campaign. No response needed until the segments are confirmed.</t>
        </is>
      </c>
      <c r="F9" t="inlineStr"/>
      <c r="G9" s="6" t="inlineStr"/>
    </row>
    <row r="10" ht="42" customHeight="1">
      <c r="A10" t="inlineStr">
        <is>
          <t>LL-MSG-009</t>
        </is>
      </c>
      <c r="B10" t="inlineStr">
        <is>
          <t>2026-08-10 14:08</t>
        </is>
      </c>
      <c r="C10" t="inlineStr">
        <is>
          <t>Head of HR office</t>
        </is>
      </c>
      <c r="D10" t="inlineStr">
        <is>
          <t>Handbook sections needed by 4pm</t>
        </is>
      </c>
      <c r="E10" s="6" t="inlineStr">
        <is>
          <t>The Head of HR has asked for the probation and flexible working sections of the handbook by 4pm today.</t>
        </is>
      </c>
      <c r="F10" t="inlineStr"/>
      <c r="G10" s="6" t="inlineStr"/>
    </row>
    <row r="11" ht="42" customHeight="1">
      <c r="A11" t="inlineStr">
        <is>
          <t>LL-MSG-010</t>
        </is>
      </c>
      <c r="B11" t="inlineStr">
        <is>
          <t>2026-08-10 15:22</t>
        </is>
      </c>
      <c r="C11" t="inlineStr">
        <is>
          <t>Nurul Aziz, HR</t>
        </is>
      </c>
      <c r="D11" t="inlineStr">
        <is>
          <t>Policy draft circulation</t>
        </is>
      </c>
      <c r="E11" s="6" t="inlineStr">
        <is>
          <t>The HR policy draft is ready for review, but it should not be circulated until legal has confirmed the leave provisions.</t>
        </is>
      </c>
      <c r="F11" t="inlineStr"/>
      <c r="G11" s="6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>
      <c r="A1" s="7" t="inlineStr">
        <is>
          <t>Month</t>
        </is>
      </c>
      <c r="B1" s="7" t="inlineStr">
        <is>
          <t>Measure</t>
        </is>
      </c>
      <c r="C1" s="7" t="inlineStr">
        <is>
          <t>Budget</t>
        </is>
      </c>
      <c r="D1" s="7" t="inlineStr">
        <is>
          <t>Actual</t>
        </is>
      </c>
      <c r="E1" s="7" t="inlineStr">
        <is>
          <t>Variance</t>
        </is>
      </c>
      <c r="F1" s="7" t="inlineStr">
        <is>
          <t>Variance_Pct</t>
        </is>
      </c>
      <c r="G1" s="7" t="inlineStr">
        <is>
          <t>Owner</t>
        </is>
      </c>
      <c r="H1" s="7" t="inlineStr">
        <is>
          <t>Status</t>
        </is>
      </c>
    </row>
    <row r="2">
      <c r="A2" t="inlineStr">
        <is>
          <t>Jan</t>
        </is>
      </c>
      <c r="B2" t="inlineStr">
        <is>
          <t>Messages sorted</t>
        </is>
      </c>
      <c r="C2" s="8" t="n">
        <v>101050</v>
      </c>
      <c r="D2" s="8" t="n">
        <v>93245.55</v>
      </c>
      <c r="E2" s="8">
        <f>D2-C2</f>
        <v/>
      </c>
      <c r="F2" s="9">
        <f>IF(C2=0,0,E2/C2)</f>
        <v/>
      </c>
      <c r="G2" t="inlineStr">
        <is>
          <t>Human Resources</t>
        </is>
      </c>
      <c r="H2">
        <f>IF(ABS(F2)&lt;=0.05,"On track",IF(F2&gt;0.05,"Above","Attention"))</f>
        <v/>
      </c>
    </row>
    <row r="3">
      <c r="A3" t="inlineStr">
        <is>
          <t>Jan</t>
        </is>
      </c>
      <c r="B3" t="inlineStr">
        <is>
          <t>Reply drafted</t>
        </is>
      </c>
      <c r="C3" s="8" t="n">
        <v>107250</v>
      </c>
      <c r="D3" s="8" t="n">
        <v>104229.87</v>
      </c>
      <c r="E3" s="8">
        <f>D3-C3</f>
        <v/>
      </c>
      <c r="F3" s="9">
        <f>IF(C3=0,0,E3/C3)</f>
        <v/>
      </c>
      <c r="G3" t="inlineStr">
        <is>
          <t>Human Resources</t>
        </is>
      </c>
      <c r="H3">
        <f>IF(ABS(F3)&lt;=0.05,"On track",IF(F3&gt;0.05,"Above","Attention"))</f>
        <v/>
      </c>
    </row>
    <row r="4">
      <c r="A4" t="inlineStr">
        <is>
          <t>Jan</t>
        </is>
      </c>
      <c r="B4" t="inlineStr">
        <is>
          <t>Approver named</t>
        </is>
      </c>
      <c r="C4" s="8" t="n">
        <v>113450</v>
      </c>
      <c r="D4" s="8" t="n">
        <v>125595.93</v>
      </c>
      <c r="E4" s="8">
        <f>D4-C4</f>
        <v/>
      </c>
      <c r="F4" s="9">
        <f>IF(C4=0,0,E4/C4)</f>
        <v/>
      </c>
      <c r="G4" t="inlineStr">
        <is>
          <t>Human Resources</t>
        </is>
      </c>
      <c r="H4">
        <f>IF(ABS(F4)&lt;=0.05,"On track",IF(F4&gt;0.05,"Above","Attention"))</f>
        <v/>
      </c>
    </row>
    <row r="5">
      <c r="A5" t="inlineStr">
        <is>
          <t>Feb</t>
        </is>
      </c>
      <c r="B5" t="inlineStr">
        <is>
          <t>Messages sorted</t>
        </is>
      </c>
      <c r="C5" s="8" t="n">
        <v>102300</v>
      </c>
      <c r="D5" s="8" t="n">
        <v>113033.11</v>
      </c>
      <c r="E5" s="8">
        <f>D5-C5</f>
        <v/>
      </c>
      <c r="F5" s="9">
        <f>IF(C5=0,0,E5/C5)</f>
        <v/>
      </c>
      <c r="G5" t="inlineStr">
        <is>
          <t>Human Resources</t>
        </is>
      </c>
      <c r="H5">
        <f>IF(ABS(F5)&lt;=0.05,"On track",IF(F5&gt;0.05,"Above","Attention"))</f>
        <v/>
      </c>
    </row>
    <row r="6">
      <c r="A6" t="inlineStr">
        <is>
          <t>Feb</t>
        </is>
      </c>
      <c r="B6" t="inlineStr">
        <is>
          <t>Reply drafted</t>
        </is>
      </c>
      <c r="C6" s="8" t="n">
        <v>108500</v>
      </c>
      <c r="D6" s="8" t="n">
        <v>106510.13</v>
      </c>
      <c r="E6" s="8">
        <f>D6-C6</f>
        <v/>
      </c>
      <c r="F6" s="9">
        <f>IF(C6=0,0,E6/C6)</f>
        <v/>
      </c>
      <c r="G6" t="inlineStr">
        <is>
          <t>Human Resources</t>
        </is>
      </c>
      <c r="H6">
        <f>IF(ABS(F6)&lt;=0.05,"On track",IF(F6&gt;0.05,"Above","Attention"))</f>
        <v/>
      </c>
    </row>
    <row r="7">
      <c r="A7" t="inlineStr">
        <is>
          <t>Feb</t>
        </is>
      </c>
      <c r="B7" t="inlineStr">
        <is>
          <t>Approver named</t>
        </is>
      </c>
      <c r="C7" s="8" t="n">
        <v>114700</v>
      </c>
      <c r="D7" s="8" t="n">
        <v>109654.57</v>
      </c>
      <c r="E7" s="8">
        <f>D7-C7</f>
        <v/>
      </c>
      <c r="F7" s="9">
        <f>IF(C7=0,0,E7/C7)</f>
        <v/>
      </c>
      <c r="G7" t="inlineStr">
        <is>
          <t>Human Resources</t>
        </is>
      </c>
      <c r="H7">
        <f>IF(ABS(F7)&lt;=0.05,"On track",IF(F7&gt;0.05,"Above","Attention"))</f>
        <v/>
      </c>
    </row>
    <row r="8">
      <c r="A8" t="inlineStr">
        <is>
          <t>Mar</t>
        </is>
      </c>
      <c r="B8" t="inlineStr">
        <is>
          <t>Messages sorted</t>
        </is>
      </c>
      <c r="C8" s="8" t="n">
        <v>103550</v>
      </c>
      <c r="D8" s="8" t="n">
        <v>108765.91</v>
      </c>
      <c r="E8" s="8">
        <f>D8-C8</f>
        <v/>
      </c>
      <c r="F8" s="9">
        <f>IF(C8=0,0,E8/C8)</f>
        <v/>
      </c>
      <c r="G8" t="inlineStr">
        <is>
          <t>Human Resources</t>
        </is>
      </c>
      <c r="H8">
        <f>IF(ABS(F8)&lt;=0.05,"On track",IF(F8&gt;0.05,"Above","Attention"))</f>
        <v/>
      </c>
    </row>
    <row r="9">
      <c r="A9" t="inlineStr">
        <is>
          <t>Mar</t>
        </is>
      </c>
      <c r="B9" t="inlineStr">
        <is>
          <t>Reply drafted</t>
        </is>
      </c>
      <c r="C9" s="8" t="n">
        <v>109750</v>
      </c>
      <c r="D9" s="8" t="n">
        <v>108087.47</v>
      </c>
      <c r="E9" s="8">
        <f>D9-C9</f>
        <v/>
      </c>
      <c r="F9" s="9">
        <f>IF(C9=0,0,E9/C9)</f>
        <v/>
      </c>
      <c r="G9" t="inlineStr">
        <is>
          <t>Human Resources</t>
        </is>
      </c>
      <c r="H9">
        <f>IF(ABS(F9)&lt;=0.05,"On track",IF(F9&gt;0.05,"Above","Attention"))</f>
        <v/>
      </c>
    </row>
    <row r="10">
      <c r="A10" t="inlineStr">
        <is>
          <t>Mar</t>
        </is>
      </c>
      <c r="B10" t="inlineStr">
        <is>
          <t>Approver named</t>
        </is>
      </c>
      <c r="C10" s="8" t="n">
        <v>115950</v>
      </c>
      <c r="D10" s="8" t="n">
        <v>107443.87</v>
      </c>
      <c r="E10" s="8">
        <f>D10-C10</f>
        <v/>
      </c>
      <c r="F10" s="9">
        <f>IF(C10=0,0,E10/C10)</f>
        <v/>
      </c>
      <c r="G10" t="inlineStr">
        <is>
          <t>Human Resources</t>
        </is>
      </c>
      <c r="H10">
        <f>IF(ABS(F10)&lt;=0.05,"On track",IF(F10&gt;0.05,"Above","Attention"))</f>
        <v/>
      </c>
    </row>
    <row r="11">
      <c r="A11" t="inlineStr">
        <is>
          <t>Apr</t>
        </is>
      </c>
      <c r="B11" t="inlineStr">
        <is>
          <t>Messages sorted</t>
        </is>
      </c>
      <c r="C11" s="8" t="n">
        <v>104800</v>
      </c>
      <c r="D11" s="8" t="n">
        <v>109264.3</v>
      </c>
      <c r="E11" s="8">
        <f>D11-C11</f>
        <v/>
      </c>
      <c r="F11" s="9">
        <f>IF(C11=0,0,E11/C11)</f>
        <v/>
      </c>
      <c r="G11" t="inlineStr">
        <is>
          <t>Human Resources</t>
        </is>
      </c>
      <c r="H11">
        <f>IF(ABS(F11)&lt;=0.05,"On track",IF(F11&gt;0.05,"Above","Attention"))</f>
        <v/>
      </c>
    </row>
    <row r="12">
      <c r="A12" t="inlineStr">
        <is>
          <t>Apr</t>
        </is>
      </c>
      <c r="B12" t="inlineStr">
        <is>
          <t>Reply drafted</t>
        </is>
      </c>
      <c r="C12" s="8" t="n">
        <v>111000</v>
      </c>
      <c r="D12" s="8" t="n">
        <v>110555.19</v>
      </c>
      <c r="E12" s="8">
        <f>D12-C12</f>
        <v/>
      </c>
      <c r="F12" s="9">
        <f>IF(C12=0,0,E12/C12)</f>
        <v/>
      </c>
      <c r="G12" t="inlineStr">
        <is>
          <t>Human Resources</t>
        </is>
      </c>
      <c r="H12">
        <f>IF(ABS(F12)&lt;=0.05,"On track",IF(F12&gt;0.05,"Above","Attention"))</f>
        <v/>
      </c>
    </row>
    <row r="13">
      <c r="A13" t="inlineStr">
        <is>
          <t>Apr</t>
        </is>
      </c>
      <c r="B13" t="inlineStr">
        <is>
          <t>Approver named</t>
        </is>
      </c>
      <c r="C13" s="8" t="n">
        <v>117200</v>
      </c>
      <c r="D13" s="8" t="n">
        <v>110698.37</v>
      </c>
      <c r="E13" s="8">
        <f>D13-C13</f>
        <v/>
      </c>
      <c r="F13" s="9">
        <f>IF(C13=0,0,E13/C13)</f>
        <v/>
      </c>
      <c r="G13" t="inlineStr">
        <is>
          <t>Human Resources</t>
        </is>
      </c>
      <c r="H13">
        <f>IF(ABS(F13)&lt;=0.05,"On track",IF(F13&gt;0.05,"Above","Attention"))</f>
        <v/>
      </c>
    </row>
    <row r="14">
      <c r="A14" t="inlineStr">
        <is>
          <t>May</t>
        </is>
      </c>
      <c r="B14" t="inlineStr">
        <is>
          <t>Messages sorted</t>
        </is>
      </c>
      <c r="C14" s="8" t="n">
        <v>106050</v>
      </c>
      <c r="D14" s="8" t="n">
        <v>100733.86</v>
      </c>
      <c r="E14" s="8">
        <f>D14-C14</f>
        <v/>
      </c>
      <c r="F14" s="9">
        <f>IF(C14=0,0,E14/C14)</f>
        <v/>
      </c>
      <c r="G14" t="inlineStr">
        <is>
          <t>Human Resources</t>
        </is>
      </c>
      <c r="H14">
        <f>IF(ABS(F14)&lt;=0.05,"On track",IF(F14&gt;0.05,"Above","Attention"))</f>
        <v/>
      </c>
    </row>
    <row r="15">
      <c r="A15" t="inlineStr">
        <is>
          <t>May</t>
        </is>
      </c>
      <c r="B15" t="inlineStr">
        <is>
          <t>Reply drafted</t>
        </is>
      </c>
      <c r="C15" s="8" t="n">
        <v>112250</v>
      </c>
      <c r="D15" s="8" t="n">
        <v>104123.21</v>
      </c>
      <c r="E15" s="8">
        <f>D15-C15</f>
        <v/>
      </c>
      <c r="F15" s="9">
        <f>IF(C15=0,0,E15/C15)</f>
        <v/>
      </c>
      <c r="G15" t="inlineStr">
        <is>
          <t>Human Resources</t>
        </is>
      </c>
      <c r="H15">
        <f>IF(ABS(F15)&lt;=0.05,"On track",IF(F15&gt;0.05,"Above","Attention"))</f>
        <v/>
      </c>
    </row>
    <row r="16">
      <c r="A16" t="inlineStr">
        <is>
          <t>May</t>
        </is>
      </c>
      <c r="B16" t="inlineStr">
        <is>
          <t>Approver named</t>
        </is>
      </c>
      <c r="C16" s="8" t="n">
        <v>118450</v>
      </c>
      <c r="D16" s="8" t="n">
        <v>117366.6</v>
      </c>
      <c r="E16" s="8">
        <f>D16-C16</f>
        <v/>
      </c>
      <c r="F16" s="9">
        <f>IF(C16=0,0,E16/C16)</f>
        <v/>
      </c>
      <c r="G16" t="inlineStr">
        <is>
          <t>Human Resources</t>
        </is>
      </c>
      <c r="H16">
        <f>IF(ABS(F16)&lt;=0.05,"On track",IF(F16&gt;0.05,"Above","Attention"))</f>
        <v/>
      </c>
    </row>
    <row r="17">
      <c r="A17" t="inlineStr">
        <is>
          <t>Jun</t>
        </is>
      </c>
      <c r="B17" t="inlineStr">
        <is>
          <t>Messages sorted</t>
        </is>
      </c>
      <c r="C17" s="8" t="n">
        <v>107300</v>
      </c>
      <c r="D17" s="8" t="n">
        <v>118873.18</v>
      </c>
      <c r="E17" s="8">
        <f>D17-C17</f>
        <v/>
      </c>
      <c r="F17" s="9">
        <f>IF(C17=0,0,E17/C17)</f>
        <v/>
      </c>
      <c r="G17" t="inlineStr">
        <is>
          <t>Human Resources</t>
        </is>
      </c>
      <c r="H17">
        <f>IF(ABS(F17)&lt;=0.05,"On track",IF(F17&gt;0.05,"Above","Attention"))</f>
        <v/>
      </c>
    </row>
    <row r="18">
      <c r="A18" t="inlineStr">
        <is>
          <t>Jun</t>
        </is>
      </c>
      <c r="B18" t="inlineStr">
        <is>
          <t>Reply drafted</t>
        </is>
      </c>
      <c r="C18" s="8" t="n">
        <v>113500</v>
      </c>
      <c r="D18" s="8" t="n">
        <v>104025.2</v>
      </c>
      <c r="E18" s="8">
        <f>D18-C18</f>
        <v/>
      </c>
      <c r="F18" s="9">
        <f>IF(C18=0,0,E18/C18)</f>
        <v/>
      </c>
      <c r="G18" t="inlineStr">
        <is>
          <t>Human Resources</t>
        </is>
      </c>
      <c r="H18">
        <f>IF(ABS(F18)&lt;=0.05,"On track",IF(F18&gt;0.05,"Above","Attention"))</f>
        <v/>
      </c>
    </row>
    <row r="19">
      <c r="A19" t="inlineStr">
        <is>
          <t>Jun</t>
        </is>
      </c>
      <c r="B19" t="inlineStr">
        <is>
          <t>Approver named</t>
        </is>
      </c>
      <c r="C19" s="8" t="n">
        <v>119700</v>
      </c>
      <c r="D19" s="8" t="n">
        <v>124047.96</v>
      </c>
      <c r="E19" s="8">
        <f>D19-C19</f>
        <v/>
      </c>
      <c r="F19" s="9">
        <f>IF(C19=0,0,E19/C19)</f>
        <v/>
      </c>
      <c r="G19" t="inlineStr">
        <is>
          <t>Human Resources</t>
        </is>
      </c>
      <c r="H19">
        <f>IF(ABS(F19)&lt;=0.05,"On track",IF(F19&gt;0.05,"Above","Attention"))</f>
        <v/>
      </c>
    </row>
    <row r="20">
      <c r="A20" t="inlineStr">
        <is>
          <t>Jul</t>
        </is>
      </c>
      <c r="B20" t="inlineStr">
        <is>
          <t>Messages sorted</t>
        </is>
      </c>
      <c r="C20" s="8" t="n">
        <v>108550</v>
      </c>
      <c r="D20" s="8" t="n">
        <v>112799.89</v>
      </c>
      <c r="E20" s="8">
        <f>D20-C20</f>
        <v/>
      </c>
      <c r="F20" s="9">
        <f>IF(C20=0,0,E20/C20)</f>
        <v/>
      </c>
      <c r="G20" t="inlineStr">
        <is>
          <t>Human Resources</t>
        </is>
      </c>
      <c r="H20">
        <f>IF(ABS(F20)&lt;=0.05,"On track",IF(F20&gt;0.05,"Above","Attention"))</f>
        <v/>
      </c>
    </row>
    <row r="21">
      <c r="A21" t="inlineStr">
        <is>
          <t>Jul</t>
        </is>
      </c>
      <c r="B21" t="inlineStr">
        <is>
          <t>Reply drafted</t>
        </is>
      </c>
      <c r="C21" s="8" t="n">
        <v>114750</v>
      </c>
      <c r="D21" s="8" t="n">
        <v>125439.27</v>
      </c>
      <c r="E21" s="8">
        <f>D21-C21</f>
        <v/>
      </c>
      <c r="F21" s="9">
        <f>IF(C21=0,0,E21/C21)</f>
        <v/>
      </c>
      <c r="G21" t="inlineStr">
        <is>
          <t>Human Resources</t>
        </is>
      </c>
      <c r="H21">
        <f>IF(ABS(F21)&lt;=0.05,"On track",IF(F21&gt;0.05,"Above","Attention"))</f>
        <v/>
      </c>
    </row>
    <row r="22">
      <c r="A22" t="inlineStr">
        <is>
          <t>Jul</t>
        </is>
      </c>
      <c r="B22" t="inlineStr">
        <is>
          <t>Approver named</t>
        </is>
      </c>
      <c r="C22" s="8" t="n">
        <v>120950</v>
      </c>
      <c r="D22" s="8" t="n">
        <v>132773.7</v>
      </c>
      <c r="E22" s="8">
        <f>D22-C22</f>
        <v/>
      </c>
      <c r="F22" s="9">
        <f>IF(C22=0,0,E22/C22)</f>
        <v/>
      </c>
      <c r="G22" t="inlineStr">
        <is>
          <t>Human Resources</t>
        </is>
      </c>
      <c r="H22">
        <f>IF(ABS(F22)&lt;=0.05,"On track",IF(F22&gt;0.05,"Above","Attention"))</f>
        <v/>
      </c>
    </row>
    <row r="23">
      <c r="A23" t="inlineStr">
        <is>
          <t>Aug</t>
        </is>
      </c>
      <c r="B23" t="inlineStr">
        <is>
          <t>Messages sorted</t>
        </is>
      </c>
      <c r="C23" s="8" t="n">
        <v>109800</v>
      </c>
      <c r="D23" s="8" t="n">
        <v>101345.14</v>
      </c>
      <c r="E23" s="8">
        <f>D23-C23</f>
        <v/>
      </c>
      <c r="F23" s="9">
        <f>IF(C23=0,0,E23/C23)</f>
        <v/>
      </c>
      <c r="G23" t="inlineStr">
        <is>
          <t>Human Resources</t>
        </is>
      </c>
      <c r="H23">
        <f>IF(ABS(F23)&lt;=0.05,"On track",IF(F23&gt;0.05,"Above","Attention"))</f>
        <v/>
      </c>
    </row>
    <row r="24">
      <c r="A24" t="inlineStr">
        <is>
          <t>Aug</t>
        </is>
      </c>
      <c r="B24" t="inlineStr">
        <is>
          <t>Reply drafted</t>
        </is>
      </c>
      <c r="C24" s="8" t="n">
        <v>116000</v>
      </c>
      <c r="D24" s="8" t="n">
        <v>118531.07</v>
      </c>
      <c r="E24" s="8">
        <f>D24-C24</f>
        <v/>
      </c>
      <c r="F24" s="9">
        <f>IF(C24=0,0,E24/C24)</f>
        <v/>
      </c>
      <c r="G24" t="inlineStr">
        <is>
          <t>Human Resources</t>
        </is>
      </c>
      <c r="H24">
        <f>IF(ABS(F24)&lt;=0.05,"On track",IF(F24&gt;0.05,"Above","Attention"))</f>
        <v/>
      </c>
    </row>
    <row r="25">
      <c r="A25" t="inlineStr">
        <is>
          <t>Aug</t>
        </is>
      </c>
      <c r="B25" t="inlineStr">
        <is>
          <t>Approver named</t>
        </is>
      </c>
      <c r="C25" s="8" t="n">
        <v>122200</v>
      </c>
      <c r="D25" s="8" t="n">
        <v>115447.89</v>
      </c>
      <c r="E25" s="8">
        <f>D25-C25</f>
        <v/>
      </c>
      <c r="F25" s="9">
        <f>IF(C25=0,0,E25/C25)</f>
        <v/>
      </c>
      <c r="G25" t="inlineStr">
        <is>
          <t>Human Resources</t>
        </is>
      </c>
      <c r="H25">
        <f>IF(ABS(F25)&lt;=0.05,"On track",IF(F25&gt;0.05,"Above","Attention"))</f>
        <v/>
      </c>
    </row>
    <row r="26">
      <c r="A26" t="inlineStr">
        <is>
          <t>Sep</t>
        </is>
      </c>
      <c r="B26" t="inlineStr">
        <is>
          <t>Messages sorted</t>
        </is>
      </c>
      <c r="C26" s="8" t="n">
        <v>111050</v>
      </c>
      <c r="D26" s="8" t="n">
        <v>102072.83</v>
      </c>
      <c r="E26" s="8">
        <f>D26-C26</f>
        <v/>
      </c>
      <c r="F26" s="9">
        <f>IF(C26=0,0,E26/C26)</f>
        <v/>
      </c>
      <c r="G26" t="inlineStr">
        <is>
          <t>Human Resources</t>
        </is>
      </c>
      <c r="H26">
        <f>IF(ABS(F26)&lt;=0.05,"On track",IF(F26&gt;0.05,"Above","Attention"))</f>
        <v/>
      </c>
    </row>
    <row r="27">
      <c r="A27" t="inlineStr">
        <is>
          <t>Sep</t>
        </is>
      </c>
      <c r="B27" t="inlineStr">
        <is>
          <t>Reply drafted</t>
        </is>
      </c>
      <c r="C27" s="8" t="n">
        <v>117250</v>
      </c>
      <c r="D27" s="8" t="n">
        <v>106914.73</v>
      </c>
      <c r="E27" s="8">
        <f>D27-C27</f>
        <v/>
      </c>
      <c r="F27" s="9">
        <f>IF(C27=0,0,E27/C27)</f>
        <v/>
      </c>
      <c r="G27" t="inlineStr">
        <is>
          <t>Human Resources</t>
        </is>
      </c>
      <c r="H27">
        <f>IF(ABS(F27)&lt;=0.05,"On track",IF(F27&gt;0.05,"Above","Attention"))</f>
        <v/>
      </c>
    </row>
    <row r="28">
      <c r="A28" t="inlineStr">
        <is>
          <t>Sep</t>
        </is>
      </c>
      <c r="B28" t="inlineStr">
        <is>
          <t>Approver named</t>
        </is>
      </c>
      <c r="C28" s="8" t="n">
        <v>123450</v>
      </c>
      <c r="D28" s="8" t="n">
        <v>128400.51</v>
      </c>
      <c r="E28" s="8">
        <f>D28-C28</f>
        <v/>
      </c>
      <c r="F28" s="9">
        <f>IF(C28=0,0,E28/C28)</f>
        <v/>
      </c>
      <c r="G28" t="inlineStr">
        <is>
          <t>Human Resources</t>
        </is>
      </c>
      <c r="H28">
        <f>IF(ABS(F28)&lt;=0.05,"On track",IF(F28&gt;0.05,"Above","Attention"))</f>
        <v/>
      </c>
    </row>
    <row r="29">
      <c r="A29" t="inlineStr">
        <is>
          <t>Oct</t>
        </is>
      </c>
      <c r="B29" t="inlineStr">
        <is>
          <t>Messages sorted</t>
        </is>
      </c>
      <c r="C29" s="8" t="n">
        <v>112300</v>
      </c>
      <c r="D29" s="8" t="n">
        <v>118061.2</v>
      </c>
      <c r="E29" s="8">
        <f>D29-C29</f>
        <v/>
      </c>
      <c r="F29" s="9">
        <f>IF(C29=0,0,E29/C29)</f>
        <v/>
      </c>
      <c r="G29" t="inlineStr">
        <is>
          <t>Human Resources</t>
        </is>
      </c>
      <c r="H29">
        <f>IF(ABS(F29)&lt;=0.05,"On track",IF(F29&gt;0.05,"Above","Attention"))</f>
        <v/>
      </c>
    </row>
    <row r="30">
      <c r="A30" t="inlineStr">
        <is>
          <t>Oct</t>
        </is>
      </c>
      <c r="B30" t="inlineStr">
        <is>
          <t>Reply drafted</t>
        </is>
      </c>
      <c r="C30" s="8" t="n">
        <v>118500</v>
      </c>
      <c r="D30" s="8" t="n">
        <v>118226.36</v>
      </c>
      <c r="E30" s="8">
        <f>D30-C30</f>
        <v/>
      </c>
      <c r="F30" s="9">
        <f>IF(C30=0,0,E30/C30)</f>
        <v/>
      </c>
      <c r="G30" t="inlineStr">
        <is>
          <t>Human Resources</t>
        </is>
      </c>
      <c r="H30">
        <f>IF(ABS(F30)&lt;=0.05,"On track",IF(F30&gt;0.05,"Above","Attention"))</f>
        <v/>
      </c>
    </row>
    <row r="31">
      <c r="A31" t="inlineStr">
        <is>
          <t>Oct</t>
        </is>
      </c>
      <c r="B31" t="inlineStr">
        <is>
          <t>Approver named</t>
        </is>
      </c>
      <c r="C31" s="8" t="n">
        <v>124700</v>
      </c>
      <c r="D31" s="8" t="n">
        <v>122515.32</v>
      </c>
      <c r="E31" s="8">
        <f>D31-C31</f>
        <v/>
      </c>
      <c r="F31" s="9">
        <f>IF(C31=0,0,E31/C31)</f>
        <v/>
      </c>
      <c r="G31" t="inlineStr">
        <is>
          <t>Human Resources</t>
        </is>
      </c>
      <c r="H31">
        <f>IF(ABS(F31)&lt;=0.05,"On track",IF(F31&gt;0.05,"Above","Attention"))</f>
        <v/>
      </c>
    </row>
    <row r="32">
      <c r="A32" t="inlineStr">
        <is>
          <t>Nov</t>
        </is>
      </c>
      <c r="B32" t="inlineStr">
        <is>
          <t>Messages sorted</t>
        </is>
      </c>
      <c r="C32" s="8" t="n">
        <v>113550</v>
      </c>
      <c r="D32" s="8" t="n">
        <v>105352.65</v>
      </c>
      <c r="E32" s="8">
        <f>D32-C32</f>
        <v/>
      </c>
      <c r="F32" s="9">
        <f>IF(C32=0,0,E32/C32)</f>
        <v/>
      </c>
      <c r="G32" t="inlineStr">
        <is>
          <t>Human Resources</t>
        </is>
      </c>
      <c r="H32">
        <f>IF(ABS(F32)&lt;=0.05,"On track",IF(F32&gt;0.05,"Above","Attention"))</f>
        <v/>
      </c>
    </row>
    <row r="33">
      <c r="A33" t="inlineStr">
        <is>
          <t>Nov</t>
        </is>
      </c>
      <c r="B33" t="inlineStr">
        <is>
          <t>Reply drafted</t>
        </is>
      </c>
      <c r="C33" s="8" t="n">
        <v>119750</v>
      </c>
      <c r="D33" s="8" t="n">
        <v>115719.69</v>
      </c>
      <c r="E33" s="8">
        <f>D33-C33</f>
        <v/>
      </c>
      <c r="F33" s="9">
        <f>IF(C33=0,0,E33/C33)</f>
        <v/>
      </c>
      <c r="G33" t="inlineStr">
        <is>
          <t>Human Resources</t>
        </is>
      </c>
      <c r="H33">
        <f>IF(ABS(F33)&lt;=0.05,"On track",IF(F33&gt;0.05,"Above","Attention"))</f>
        <v/>
      </c>
    </row>
    <row r="34">
      <c r="A34" t="inlineStr">
        <is>
          <t>Nov</t>
        </is>
      </c>
      <c r="B34" t="inlineStr">
        <is>
          <t>Approver named</t>
        </is>
      </c>
      <c r="C34" s="8" t="n">
        <v>125950</v>
      </c>
      <c r="D34" s="8" t="n">
        <v>124749.79</v>
      </c>
      <c r="E34" s="8">
        <f>D34-C34</f>
        <v/>
      </c>
      <c r="F34" s="9">
        <f>IF(C34=0,0,E34/C34)</f>
        <v/>
      </c>
      <c r="G34" t="inlineStr">
        <is>
          <t>Human Resources</t>
        </is>
      </c>
      <c r="H34">
        <f>IF(ABS(F34)&lt;=0.05,"On track",IF(F34&gt;0.05,"Above","Attention"))</f>
        <v/>
      </c>
    </row>
    <row r="35">
      <c r="A35" t="inlineStr">
        <is>
          <t>Dec</t>
        </is>
      </c>
      <c r="B35" t="inlineStr">
        <is>
          <t>Messages sorted</t>
        </is>
      </c>
      <c r="C35" s="8" t="n">
        <v>114800</v>
      </c>
      <c r="D35" s="8" t="n">
        <v>119438.03</v>
      </c>
      <c r="E35" s="8">
        <f>D35-C35</f>
        <v/>
      </c>
      <c r="F35" s="9">
        <f>IF(C35=0,0,E35/C35)</f>
        <v/>
      </c>
      <c r="G35" t="inlineStr">
        <is>
          <t>Human Resources</t>
        </is>
      </c>
      <c r="H35">
        <f>IF(ABS(F35)&lt;=0.05,"On track",IF(F35&gt;0.05,"Above","Attention"))</f>
        <v/>
      </c>
    </row>
    <row r="36">
      <c r="A36" t="inlineStr">
        <is>
          <t>Dec</t>
        </is>
      </c>
      <c r="B36" t="inlineStr">
        <is>
          <t>Reply drafted</t>
        </is>
      </c>
      <c r="C36" s="8" t="n">
        <v>121000</v>
      </c>
      <c r="D36" s="8" t="n">
        <v>124307.97</v>
      </c>
      <c r="E36" s="8">
        <f>D36-C36</f>
        <v/>
      </c>
      <c r="F36" s="9">
        <f>IF(C36=0,0,E36/C36)</f>
        <v/>
      </c>
      <c r="G36" t="inlineStr">
        <is>
          <t>Human Resources</t>
        </is>
      </c>
      <c r="H36">
        <f>IF(ABS(F36)&lt;=0.05,"On track",IF(F36&gt;0.05,"Above","Attention"))</f>
        <v/>
      </c>
    </row>
    <row r="37">
      <c r="A37" t="inlineStr">
        <is>
          <t>Dec</t>
        </is>
      </c>
      <c r="B37" t="inlineStr">
        <is>
          <t>Approver named</t>
        </is>
      </c>
      <c r="C37" s="8" t="n">
        <v>127200</v>
      </c>
      <c r="D37" s="8" t="n">
        <v>125217.88</v>
      </c>
      <c r="E37" s="8">
        <f>D37-C37</f>
        <v/>
      </c>
      <c r="F37" s="9">
        <f>IF(C37=0,0,E37/C37)</f>
        <v/>
      </c>
      <c r="G37" t="inlineStr">
        <is>
          <t>Human Resources</t>
        </is>
      </c>
      <c r="H37">
        <f>IF(ABS(F37)&lt;=0.05,"On track",IF(F37&gt;0.05,"Above","Attention"))</f>
        <v/>
      </c>
    </row>
  </sheetData>
  <autoFilter ref="A1:H37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Ref</t>
        </is>
      </c>
      <c r="B1" s="7" t="inlineStr">
        <is>
          <t>Where staff information is kept</t>
        </is>
      </c>
      <c r="C1" s="7" t="inlineStr">
        <is>
          <t>Who owns it</t>
        </is>
      </c>
      <c r="D1" s="7" t="inlineStr">
        <is>
          <t>What it is used for</t>
        </is>
      </c>
      <c r="E1" s="7" t="inlineStr">
        <is>
          <t>Last checked</t>
        </is>
      </c>
      <c r="F1" s="7" t="inlineStr">
        <is>
          <t>Status</t>
        </is>
      </c>
    </row>
    <row r="2">
      <c r="A2" t="inlineStr">
        <is>
          <t>S01</t>
        </is>
      </c>
      <c r="B2" t="inlineStr">
        <is>
          <t>Staff messages sheet</t>
        </is>
      </c>
      <c r="C2" t="inlineStr">
        <is>
          <t>Human Resources</t>
        </is>
      </c>
      <c r="D2" t="inlineStr">
        <is>
          <t>Staff information</t>
        </is>
      </c>
      <c r="E2" s="10" t="n">
        <v>46246</v>
      </c>
      <c r="F2" t="inlineStr">
        <is>
          <t>Approved for training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18" customWidth="1" min="4" max="4"/>
    <col width="18" customWidth="1" min="5" max="5"/>
    <col width="16" customWidth="1" min="6" max="6"/>
  </cols>
  <sheetData>
    <row r="1">
      <c r="A1" s="7" t="inlineStr">
        <is>
          <t>Date</t>
        </is>
      </c>
      <c r="B1" s="7" t="inlineStr">
        <is>
          <t>Check</t>
        </is>
      </c>
      <c r="C1" s="7" t="inlineStr">
        <is>
          <t>Evidence / change</t>
        </is>
      </c>
      <c r="D1" s="7" t="inlineStr">
        <is>
          <t>Owner</t>
        </is>
      </c>
      <c r="E1" s="7" t="inlineStr">
        <is>
          <t>Reviewer</t>
        </is>
      </c>
      <c r="F1" s="7" t="inlineStr">
        <is>
          <t>Status</t>
        </is>
      </c>
    </row>
    <row r="2">
      <c r="A2" s="10" t="n">
        <v>46246</v>
      </c>
      <c r="B2" t="inlineStr">
        <is>
          <t>Starter created</t>
        </is>
      </c>
      <c r="C2" t="inlineStr">
        <is>
          <t>Fictional training workbook generated</t>
        </is>
      </c>
      <c r="D2" t="inlineStr">
        <is>
          <t>Courseware team</t>
        </is>
      </c>
      <c r="E2" t="inlineStr"/>
      <c r="F2" t="inlineStr">
        <is>
          <t>Open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2026-08-13T18:07:28Z</dcterms:created>
  <dcterms:modified xmlns:dcterms="http://purl.org/dc/terms/" xmlns:xsi="http://www.w3.org/2001/XMLSchema-instance" xsi:type="dcterms:W3CDTF">2026-08-13T18:07:28Z</dcterms:modified>
</cp:coreProperties>
</file>