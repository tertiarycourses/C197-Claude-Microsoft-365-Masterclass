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Analysis" sheetId="6" state="visible" r:id="rId6"/>
    <sheet xmlns:r="http://schemas.openxmlformats.org/officeDocument/2006/relationships" name="Source_Register" sheetId="7" state="visible" r:id="rId7"/>
    <sheet xmlns:r="http://schemas.openxmlformats.org/officeDocument/2006/relationships" name="Audit_Log" sheetId="8" state="visible" r:id="rId8"/>
  </sheets>
  <definedNames>
    <definedName name="_xlnm.Print_Area" localSheetId="0">'Dashboard'!$B$2:$M$34</definedName>
    <definedName name="_xlnm.Print_Area" localSheetId="1">'Read_Me'!$B$2:$C$10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dd-mmm-yyyy"/>
    <numFmt numFmtId="167" formatCode="$#,##0"/>
    <numFmt numFmtId="168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  <sz val="21"/>
    </font>
    <font>
      <name val="Arial"/>
      <b val="1"/>
      <color rgb="00FFFFFF"/>
    </font>
    <font>
      <name val="Arial"/>
      <b val="1"/>
      <color rgb="00FFFFFF"/>
      <sz val="20"/>
    </font>
    <font>
      <name val="Arial"/>
      <b val="1"/>
      <color rgb="001F6FEB"/>
      <sz val="10"/>
    </font>
    <font>
      <name val="Arial"/>
      <b val="1"/>
      <color rgb="00172B4D"/>
      <sz val="18"/>
    </font>
  </fonts>
  <fills count="6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167" fontId="7" fillId="3" borderId="0" applyAlignment="1" pivotButton="0" quotePrefix="0" xfId="0">
      <alignment horizontal="center" vertical="center" wrapText="1"/>
    </xf>
    <xf numFmtId="168" fontId="7" fillId="3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revenue: actual vs budget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'Analysis'!$B$11:$B$22</f>
            </numRef>
          </cat>
          <val>
            <numRef>
              <f>'Analysis'!$C$11:$C$22</f>
            </numRef>
          </val>
        </ser>
        <ser>
          <idx val="1"/>
          <order val="1"/>
          <tx>
            <strRef>
              <f>'Analysis'!D10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'Analysis'!$B$11:$B$22</f>
            </numRef>
          </cat>
          <val>
            <numRef>
              <f>'Analysis'!$D$11:$D$22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contribution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'Analysis'!$F$11:$F$13</f>
            </numRef>
          </cat>
          <val>
            <numRef>
              <f>'Analysis'!$I$11:$I$13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Contribution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budget variance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'Analysis'!$B$11:$B$22</f>
            </numRef>
          </cat>
          <val>
            <numRef>
              <f>'Analysis'!$C$11:$C$22</f>
            </numRef>
          </val>
        </ser>
        <ser>
          <idx val="1"/>
          <order val="1"/>
          <tx>
            <strRef>
              <f>'Analysis'!D10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'Analysis'!$B$11:$B$22</f>
            </numRef>
          </cat>
          <val>
            <numRef>
              <f>'Analysis'!$D$11:$D$22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1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414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4392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Finance" displayName="tblFinance" ref="A1:N721" headerRowCount="1">
  <autoFilter ref="A1:N721"/>
  <tableColumns count="14">
    <tableColumn id="1" name="Txn_ID"/>
    <tableColumn id="2" name="Date"/>
    <tableColumn id="3" name="Month"/>
    <tableColumn id="4" name="Region"/>
    <tableColumn id="5" name="Channel"/>
    <tableColumn id="6" name="Product"/>
    <tableColumn id="7" name="Category"/>
    <tableColumn id="8" name="Units"/>
    <tableColumn id="9" name="Unit_Price"/>
    <tableColumn id="10" name="Discount_Pct"/>
    <tableColumn id="11" name="Revenue"/>
    <tableColumn id="12" name="Unit_Cost"/>
    <tableColumn id="13" name="Gross_Profit"/>
    <tableColumn id="14" name="Fulfilment_Cos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>
      <c r="B2" s="1" t="inlineStr">
        <is>
          <t>LUMINA LIVING · FY2026 FINANCIAL DASHBOARD</t>
        </is>
      </c>
    </row>
    <row r="3"/>
    <row r="5">
      <c r="B5" s="2" t="inlineStr">
        <is>
          <t>REVENUE</t>
        </is>
      </c>
      <c r="E5" s="2" t="inlineStr">
        <is>
          <t>GROSS PROFIT</t>
        </is>
      </c>
      <c r="H5" s="2" t="inlineStr">
        <is>
          <t>GROSS MARGIN</t>
        </is>
      </c>
      <c r="K5" s="2" t="inlineStr">
        <is>
          <t>OPERATING CONTRIBUTION</t>
        </is>
      </c>
    </row>
    <row r="6">
      <c r="B6" s="3">
        <f>Analysis!C4</f>
        <v/>
      </c>
      <c r="E6" s="3">
        <f>Analysis!C5</f>
        <v/>
      </c>
      <c r="H6" s="4">
        <f>Analysis!C6</f>
        <v/>
      </c>
      <c r="K6" s="3">
        <f>Analysis!C7</f>
        <v/>
      </c>
    </row>
    <row r="7"/>
    <row r="25">
      <c r="H25" s="5" t="inlineStr">
        <is>
          <t>DEFINITIONS &amp; CONTROLS</t>
        </is>
      </c>
    </row>
    <row r="26">
      <c r="H26" t="inlineStr">
        <is>
          <t>Gross margin = Gross profit / Revenue</t>
        </is>
      </c>
    </row>
    <row r="27">
      <c r="H27" t="inlineStr">
        <is>
          <t>Operating contribution deducts fulfilment and marketing budget</t>
        </is>
      </c>
    </row>
    <row r="28">
      <c r="H28" t="inlineStr">
        <is>
          <t>Scenario assumptions remain separate from actuals</t>
        </is>
      </c>
    </row>
    <row r="29">
      <c r="H29" t="inlineStr">
        <is>
          <t>All data is fictional training material</t>
        </is>
      </c>
    </row>
    <row r="30">
      <c r="H30" t="inlineStr">
        <is>
          <t>Last refreshed: 12 Aug 2026</t>
        </is>
      </c>
    </row>
  </sheetData>
  <mergeCells count="9">
    <mergeCell ref="E6:G7"/>
    <mergeCell ref="H6:J7"/>
    <mergeCell ref="B5:D5"/>
    <mergeCell ref="B6:D7"/>
    <mergeCell ref="B2:M3"/>
    <mergeCell ref="E5:G5"/>
    <mergeCell ref="K5:M5"/>
    <mergeCell ref="H5:J5"/>
    <mergeCell ref="K6:M7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6" t="inlineStr">
        <is>
          <t>LUMINA LIVING PTE LTD · LAB 07</t>
        </is>
      </c>
    </row>
    <row r="3"/>
    <row r="5">
      <c r="B5" s="7" t="inlineStr">
        <is>
          <t>Activity</t>
        </is>
      </c>
      <c r="C5" s="8" t="inlineStr">
        <is>
          <t>Build Financial Analysis and an Excel Dashboard</t>
        </is>
      </c>
    </row>
    <row r="6">
      <c r="B6" s="7" t="inlineStr">
        <is>
          <t>Decision</t>
        </is>
      </c>
      <c r="C6" s="8" t="inlineStr">
        <is>
          <t>Which revenue, margin and cost actions should management prioritise?</t>
        </is>
      </c>
    </row>
    <row r="7">
      <c r="B7" s="7" t="inlineStr">
        <is>
          <t>Department</t>
        </is>
      </c>
      <c r="C7" s="8" t="inlineStr">
        <is>
          <t>Finance and Business Performance</t>
        </is>
      </c>
    </row>
    <row r="8">
      <c r="B8" s="7" t="inlineStr">
        <is>
          <t>Sponsor</t>
        </is>
      </c>
      <c r="C8" s="8" t="inlineStr">
        <is>
          <t>Chief Financial Officer</t>
        </is>
      </c>
    </row>
    <row r="9">
      <c r="B9" s="7" t="inlineStr">
        <is>
          <t>Fictional data</t>
        </is>
      </c>
      <c r="C9" s="8" t="inlineStr">
        <is>
          <t>All names, messages and figures are synthetic training material.</t>
        </is>
      </c>
    </row>
    <row r="10">
      <c r="B10" s="7" t="inlineStr">
        <is>
          <t>Acceptance</t>
        </is>
      </c>
      <c r="C10" s="8" t="inlineStr">
        <is>
          <t>The model has no formula errors, all four KPIs reconcile, scenarios change through named assumptions, three native charts answer management questions and the audit log records independent checks.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4" customWidth="1" min="5" max="5"/>
    <col width="22" customWidth="1" min="6" max="6"/>
    <col width="12" customWidth="1" min="7" max="7"/>
    <col width="10" customWidth="1" min="8" max="8"/>
    <col width="13" customWidth="1" min="9" max="9"/>
    <col width="13" customWidth="1" min="10" max="10"/>
    <col width="14" customWidth="1" min="11" max="11"/>
    <col width="13" customWidth="1" min="12" max="12"/>
    <col width="14" customWidth="1" min="13" max="13"/>
    <col width="15" customWidth="1" min="14" max="14"/>
  </cols>
  <sheetData>
    <row r="1">
      <c r="A1" s="9" t="inlineStr">
        <is>
          <t>Txn_ID</t>
        </is>
      </c>
      <c r="B1" s="9" t="inlineStr">
        <is>
          <t>Date</t>
        </is>
      </c>
      <c r="C1" s="9" t="inlineStr">
        <is>
          <t>Month</t>
        </is>
      </c>
      <c r="D1" s="9" t="inlineStr">
        <is>
          <t>Region</t>
        </is>
      </c>
      <c r="E1" s="9" t="inlineStr">
        <is>
          <t>Channel</t>
        </is>
      </c>
      <c r="F1" s="9" t="inlineStr">
        <is>
          <t>Product</t>
        </is>
      </c>
      <c r="G1" s="9" t="inlineStr">
        <is>
          <t>Category</t>
        </is>
      </c>
      <c r="H1" s="9" t="inlineStr">
        <is>
          <t>Units</t>
        </is>
      </c>
      <c r="I1" s="9" t="inlineStr">
        <is>
          <t>Unit_Price</t>
        </is>
      </c>
      <c r="J1" s="9" t="inlineStr">
        <is>
          <t>Discount_Pct</t>
        </is>
      </c>
      <c r="K1" s="9" t="inlineStr">
        <is>
          <t>Revenue</t>
        </is>
      </c>
      <c r="L1" s="9" t="inlineStr">
        <is>
          <t>Unit_Cost</t>
        </is>
      </c>
      <c r="M1" s="9" t="inlineStr">
        <is>
          <t>Gross_Profit</t>
        </is>
      </c>
      <c r="N1" s="9" t="inlineStr">
        <is>
          <t>Fulfilment_Cost</t>
        </is>
      </c>
    </row>
    <row r="2">
      <c r="A2" t="inlineStr">
        <is>
          <t>LL-00001</t>
        </is>
      </c>
      <c r="B2" s="10" t="n">
        <v>46299</v>
      </c>
      <c r="C2" t="inlineStr">
        <is>
          <t>Oct</t>
        </is>
      </c>
      <c r="D2" t="inlineStr">
        <is>
          <t>North</t>
        </is>
      </c>
      <c r="E2" t="inlineStr">
        <is>
          <t>Retail</t>
        </is>
      </c>
      <c r="F2" t="inlineStr">
        <is>
          <t>Focus Monitor Stand</t>
        </is>
      </c>
      <c r="G2" t="inlineStr">
        <is>
          <t>Workspace</t>
        </is>
      </c>
      <c r="H2" t="n">
        <v>4</v>
      </c>
      <c r="I2" s="11" t="n">
        <v>79</v>
      </c>
      <c r="J2" s="12" t="n">
        <v>0.1</v>
      </c>
      <c r="K2" s="11">
        <f>H2*I2*(1-J2)</f>
        <v/>
      </c>
      <c r="L2" s="11" t="n">
        <v>36</v>
      </c>
      <c r="M2" s="11">
        <f>K2-(H2*L2)</f>
        <v/>
      </c>
      <c r="N2" s="11">
        <f>H2*6</f>
        <v/>
      </c>
    </row>
    <row r="3">
      <c r="A3" t="inlineStr">
        <is>
          <t>LL-00002</t>
        </is>
      </c>
      <c r="B3" s="10" t="n">
        <v>46043</v>
      </c>
      <c r="C3" t="inlineStr">
        <is>
          <t>Jan</t>
        </is>
      </c>
      <c r="D3" t="inlineStr">
        <is>
          <t>East</t>
        </is>
      </c>
      <c r="E3" t="inlineStr">
        <is>
          <t>Online</t>
        </is>
      </c>
      <c r="F3" t="inlineStr">
        <is>
          <t>Halo Floor Lamp</t>
        </is>
      </c>
      <c r="G3" t="inlineStr">
        <is>
          <t>Lighting</t>
        </is>
      </c>
      <c r="H3" t="n">
        <v>7</v>
      </c>
      <c r="I3" s="11" t="n">
        <v>159</v>
      </c>
      <c r="J3" s="12" t="n">
        <v>0.15</v>
      </c>
      <c r="K3" s="11">
        <f>H3*I3*(1-J3)</f>
        <v/>
      </c>
      <c r="L3" s="11" t="n">
        <v>79</v>
      </c>
      <c r="M3" s="11">
        <f>K3-(H3*L3)</f>
        <v/>
      </c>
      <c r="N3" s="11">
        <f>H3*11</f>
        <v/>
      </c>
    </row>
    <row r="4">
      <c r="A4" t="inlineStr">
        <is>
          <t>LL-00003</t>
        </is>
      </c>
      <c r="B4" s="10" t="n">
        <v>46368</v>
      </c>
      <c r="C4" t="inlineStr">
        <is>
          <t>Dec</t>
        </is>
      </c>
      <c r="D4" t="inlineStr">
        <is>
          <t>East</t>
        </is>
      </c>
      <c r="E4" t="inlineStr">
        <is>
          <t>Retail</t>
        </is>
      </c>
      <c r="F4" t="inlineStr">
        <is>
          <t>Focus Monitor Stand</t>
        </is>
      </c>
      <c r="G4" t="inlineStr">
        <is>
          <t>Workspace</t>
        </is>
      </c>
      <c r="H4" t="n">
        <v>8</v>
      </c>
      <c r="I4" s="11" t="n">
        <v>79</v>
      </c>
      <c r="J4" s="12" t="n">
        <v>0.05</v>
      </c>
      <c r="K4" s="11">
        <f>H4*I4*(1-J4)</f>
        <v/>
      </c>
      <c r="L4" s="11" t="n">
        <v>36</v>
      </c>
      <c r="M4" s="11">
        <f>K4-(H4*L4)</f>
        <v/>
      </c>
      <c r="N4" s="11">
        <f>H4*6</f>
        <v/>
      </c>
    </row>
    <row r="5">
      <c r="A5" t="inlineStr">
        <is>
          <t>LL-00004</t>
        </is>
      </c>
      <c r="B5" s="10" t="n">
        <v>46300</v>
      </c>
      <c r="C5" t="inlineStr">
        <is>
          <t>Oct</t>
        </is>
      </c>
      <c r="D5" t="inlineStr">
        <is>
          <t>East</t>
        </is>
      </c>
      <c r="E5" t="inlineStr">
        <is>
          <t>Online</t>
        </is>
      </c>
      <c r="F5" t="inlineStr">
        <is>
          <t>Nest Basket</t>
        </is>
      </c>
      <c r="G5" t="inlineStr">
        <is>
          <t>Living</t>
        </is>
      </c>
      <c r="H5" t="n">
        <v>5</v>
      </c>
      <c r="I5" s="11" t="n">
        <v>55</v>
      </c>
      <c r="J5" s="12" t="n">
        <v>0.1</v>
      </c>
      <c r="K5" s="11">
        <f>H5*I5*(1-J5)</f>
        <v/>
      </c>
      <c r="L5" s="11" t="n">
        <v>24</v>
      </c>
      <c r="M5" s="11">
        <f>K5-(H5*L5)</f>
        <v/>
      </c>
      <c r="N5" s="11">
        <f>H5*11</f>
        <v/>
      </c>
    </row>
    <row r="6">
      <c r="A6" t="inlineStr">
        <is>
          <t>LL-00005</t>
        </is>
      </c>
      <c r="B6" s="10" t="n">
        <v>46147</v>
      </c>
      <c r="C6" t="inlineStr">
        <is>
          <t>May</t>
        </is>
      </c>
      <c r="D6" t="inlineStr">
        <is>
          <t>South</t>
        </is>
      </c>
      <c r="E6" t="inlineStr">
        <is>
          <t>Online</t>
        </is>
      </c>
      <c r="F6" t="inlineStr">
        <is>
          <t>Nest Basket</t>
        </is>
      </c>
      <c r="G6" t="inlineStr">
        <is>
          <t>Living</t>
        </is>
      </c>
      <c r="H6" t="n">
        <v>6</v>
      </c>
      <c r="I6" s="11" t="n">
        <v>55</v>
      </c>
      <c r="J6" s="12" t="n">
        <v>0</v>
      </c>
      <c r="K6" s="11">
        <f>H6*I6*(1-J6)</f>
        <v/>
      </c>
      <c r="L6" s="11" t="n">
        <v>24</v>
      </c>
      <c r="M6" s="11">
        <f>K6-(H6*L6)</f>
        <v/>
      </c>
      <c r="N6" s="11">
        <f>H6*11</f>
        <v/>
      </c>
    </row>
    <row r="7">
      <c r="A7" t="inlineStr">
        <is>
          <t>LL-00006</t>
        </is>
      </c>
      <c r="B7" s="10" t="n">
        <v>46301</v>
      </c>
      <c r="C7" t="inlineStr">
        <is>
          <t>Oct</t>
        </is>
      </c>
      <c r="D7" t="inlineStr">
        <is>
          <t>South</t>
        </is>
      </c>
      <c r="E7" t="inlineStr">
        <is>
          <t>Marketplace</t>
        </is>
      </c>
      <c r="F7" t="inlineStr">
        <is>
          <t>Luna Throw</t>
        </is>
      </c>
      <c r="G7" t="inlineStr">
        <is>
          <t>Living</t>
        </is>
      </c>
      <c r="H7" t="n">
        <v>6</v>
      </c>
      <c r="I7" s="11" t="n">
        <v>69</v>
      </c>
      <c r="J7" s="12" t="n">
        <v>0.15</v>
      </c>
      <c r="K7" s="11">
        <f>H7*I7*(1-J7)</f>
        <v/>
      </c>
      <c r="L7" s="11" t="n">
        <v>31</v>
      </c>
      <c r="M7" s="11">
        <f>K7-(H7*L7)</f>
        <v/>
      </c>
      <c r="N7" s="11">
        <f>H7*15</f>
        <v/>
      </c>
    </row>
    <row r="8">
      <c r="A8" t="inlineStr">
        <is>
          <t>LL-00007</t>
        </is>
      </c>
      <c r="B8" s="10" t="n">
        <v>46278</v>
      </c>
      <c r="C8" t="inlineStr">
        <is>
          <t>Sep</t>
        </is>
      </c>
      <c r="D8" t="inlineStr">
        <is>
          <t>East</t>
        </is>
      </c>
      <c r="E8" t="inlineStr">
        <is>
          <t>Marketplace</t>
        </is>
      </c>
      <c r="F8" t="inlineStr">
        <is>
          <t>Aurora Desk Lamp</t>
        </is>
      </c>
      <c r="G8" t="inlineStr">
        <is>
          <t>Lighting</t>
        </is>
      </c>
      <c r="H8" t="n">
        <v>6</v>
      </c>
      <c r="I8" s="11" t="n">
        <v>89</v>
      </c>
      <c r="J8" s="12" t="n">
        <v>0.05</v>
      </c>
      <c r="K8" s="11">
        <f>H8*I8*(1-J8)</f>
        <v/>
      </c>
      <c r="L8" s="11" t="n">
        <v>42</v>
      </c>
      <c r="M8" s="11">
        <f>K8-(H8*L8)</f>
        <v/>
      </c>
      <c r="N8" s="11">
        <f>H8*15</f>
        <v/>
      </c>
    </row>
    <row r="9">
      <c r="A9" t="inlineStr">
        <is>
          <t>LL-00008</t>
        </is>
      </c>
      <c r="B9" s="10" t="n">
        <v>46375</v>
      </c>
      <c r="C9" t="inlineStr">
        <is>
          <t>Dec</t>
        </is>
      </c>
      <c r="D9" t="inlineStr">
        <is>
          <t>East</t>
        </is>
      </c>
      <c r="E9" t="inlineStr">
        <is>
          <t>Retail</t>
        </is>
      </c>
      <c r="F9" t="inlineStr">
        <is>
          <t>Luna Throw</t>
        </is>
      </c>
      <c r="G9" t="inlineStr">
        <is>
          <t>Living</t>
        </is>
      </c>
      <c r="H9" t="n">
        <v>7</v>
      </c>
      <c r="I9" s="11" t="n">
        <v>69</v>
      </c>
      <c r="J9" s="12" t="n">
        <v>0.2</v>
      </c>
      <c r="K9" s="11">
        <f>H9*I9*(1-J9)</f>
        <v/>
      </c>
      <c r="L9" s="11" t="n">
        <v>31</v>
      </c>
      <c r="M9" s="11">
        <f>K9-(H9*L9)</f>
        <v/>
      </c>
      <c r="N9" s="11">
        <f>H9*6</f>
        <v/>
      </c>
    </row>
    <row r="10">
      <c r="A10" t="inlineStr">
        <is>
          <t>LL-00009</t>
        </is>
      </c>
      <c r="B10" s="10" t="n">
        <v>46314</v>
      </c>
      <c r="C10" t="inlineStr">
        <is>
          <t>Oct</t>
        </is>
      </c>
      <c r="D10" t="inlineStr">
        <is>
          <t>North</t>
        </is>
      </c>
      <c r="E10" t="inlineStr">
        <is>
          <t>Retail</t>
        </is>
      </c>
      <c r="F10" t="inlineStr">
        <is>
          <t>Halo Floor Lamp</t>
        </is>
      </c>
      <c r="G10" t="inlineStr">
        <is>
          <t>Lighting</t>
        </is>
      </c>
      <c r="H10" t="n">
        <v>6</v>
      </c>
      <c r="I10" s="11" t="n">
        <v>159</v>
      </c>
      <c r="J10" s="12" t="n">
        <v>0.15</v>
      </c>
      <c r="K10" s="11">
        <f>H10*I10*(1-J10)</f>
        <v/>
      </c>
      <c r="L10" s="11" t="n">
        <v>79</v>
      </c>
      <c r="M10" s="11">
        <f>K10-(H10*L10)</f>
        <v/>
      </c>
      <c r="N10" s="11">
        <f>H10*6</f>
        <v/>
      </c>
    </row>
    <row r="11">
      <c r="A11" t="inlineStr">
        <is>
          <t>LL-00010</t>
        </is>
      </c>
      <c r="B11" s="10" t="n">
        <v>46208</v>
      </c>
      <c r="C11" t="inlineStr">
        <is>
          <t>Jul</t>
        </is>
      </c>
      <c r="D11" t="inlineStr">
        <is>
          <t>North</t>
        </is>
      </c>
      <c r="E11" t="inlineStr">
        <is>
          <t>Marketplace</t>
        </is>
      </c>
      <c r="F11" t="inlineStr">
        <is>
          <t>Nest Basket</t>
        </is>
      </c>
      <c r="G11" t="inlineStr">
        <is>
          <t>Living</t>
        </is>
      </c>
      <c r="H11" t="n">
        <v>4</v>
      </c>
      <c r="I11" s="11" t="n">
        <v>55</v>
      </c>
      <c r="J11" s="12" t="n">
        <v>0.05</v>
      </c>
      <c r="K11" s="11">
        <f>H11*I11*(1-J11)</f>
        <v/>
      </c>
      <c r="L11" s="11" t="n">
        <v>24</v>
      </c>
      <c r="M11" s="11">
        <f>K11-(H11*L11)</f>
        <v/>
      </c>
      <c r="N11" s="11">
        <f>H11*15</f>
        <v/>
      </c>
    </row>
    <row r="12">
      <c r="A12" t="inlineStr">
        <is>
          <t>LL-00011</t>
        </is>
      </c>
      <c r="B12" s="10" t="n">
        <v>46100</v>
      </c>
      <c r="C12" t="inlineStr">
        <is>
          <t>Mar</t>
        </is>
      </c>
      <c r="D12" t="inlineStr">
        <is>
          <t>South</t>
        </is>
      </c>
      <c r="E12" t="inlineStr">
        <is>
          <t>Online</t>
        </is>
      </c>
      <c r="F12" t="inlineStr">
        <is>
          <t>Nest Basket</t>
        </is>
      </c>
      <c r="G12" t="inlineStr">
        <is>
          <t>Living</t>
        </is>
      </c>
      <c r="H12" t="n">
        <v>7</v>
      </c>
      <c r="I12" s="11" t="n">
        <v>55</v>
      </c>
      <c r="J12" s="12" t="n">
        <v>0</v>
      </c>
      <c r="K12" s="11">
        <f>H12*I12*(1-J12)</f>
        <v/>
      </c>
      <c r="L12" s="11" t="n">
        <v>24</v>
      </c>
      <c r="M12" s="11">
        <f>K12-(H12*L12)</f>
        <v/>
      </c>
      <c r="N12" s="11">
        <f>H12*11</f>
        <v/>
      </c>
    </row>
    <row r="13">
      <c r="A13" t="inlineStr">
        <is>
          <t>LL-00012</t>
        </is>
      </c>
      <c r="B13" s="10" t="n">
        <v>46097</v>
      </c>
      <c r="C13" t="inlineStr">
        <is>
          <t>Mar</t>
        </is>
      </c>
      <c r="D13" t="inlineStr">
        <is>
          <t>South</t>
        </is>
      </c>
      <c r="E13" t="inlineStr">
        <is>
          <t>Retail</t>
        </is>
      </c>
      <c r="F13" t="inlineStr">
        <is>
          <t>Focus Monitor Stand</t>
        </is>
      </c>
      <c r="G13" t="inlineStr">
        <is>
          <t>Workspace</t>
        </is>
      </c>
      <c r="H13" t="n">
        <v>6</v>
      </c>
      <c r="I13" s="11" t="n">
        <v>79</v>
      </c>
      <c r="J13" s="12" t="n">
        <v>0.05</v>
      </c>
      <c r="K13" s="11">
        <f>H13*I13*(1-J13)</f>
        <v/>
      </c>
      <c r="L13" s="11" t="n">
        <v>36</v>
      </c>
      <c r="M13" s="11">
        <f>K13-(H13*L13)</f>
        <v/>
      </c>
      <c r="N13" s="11">
        <f>H13*6</f>
        <v/>
      </c>
    </row>
    <row r="14">
      <c r="A14" t="inlineStr">
        <is>
          <t>LL-00013</t>
        </is>
      </c>
      <c r="B14" s="10" t="n">
        <v>46375</v>
      </c>
      <c r="C14" t="inlineStr">
        <is>
          <t>Dec</t>
        </is>
      </c>
      <c r="D14" t="inlineStr">
        <is>
          <t>East</t>
        </is>
      </c>
      <c r="E14" t="inlineStr">
        <is>
          <t>Retail</t>
        </is>
      </c>
      <c r="F14" t="inlineStr">
        <is>
          <t>Aurora Desk Lamp</t>
        </is>
      </c>
      <c r="G14" t="inlineStr">
        <is>
          <t>Lighting</t>
        </is>
      </c>
      <c r="H14" t="n">
        <v>3</v>
      </c>
      <c r="I14" s="11" t="n">
        <v>89</v>
      </c>
      <c r="J14" s="12" t="n">
        <v>0.15</v>
      </c>
      <c r="K14" s="11">
        <f>H14*I14*(1-J14)</f>
        <v/>
      </c>
      <c r="L14" s="11" t="n">
        <v>42</v>
      </c>
      <c r="M14" s="11">
        <f>K14-(H14*L14)</f>
        <v/>
      </c>
      <c r="N14" s="11">
        <f>H14*6</f>
        <v/>
      </c>
    </row>
    <row r="15">
      <c r="A15" t="inlineStr">
        <is>
          <t>LL-00014</t>
        </is>
      </c>
      <c r="B15" s="10" t="n">
        <v>46279</v>
      </c>
      <c r="C15" t="inlineStr">
        <is>
          <t>Sep</t>
        </is>
      </c>
      <c r="D15" t="inlineStr">
        <is>
          <t>North</t>
        </is>
      </c>
      <c r="E15" t="inlineStr">
        <is>
          <t>Marketplace</t>
        </is>
      </c>
      <c r="F15" t="inlineStr">
        <is>
          <t>Halo Floor Lamp</t>
        </is>
      </c>
      <c r="G15" t="inlineStr">
        <is>
          <t>Lighting</t>
        </is>
      </c>
      <c r="H15" t="n">
        <v>6</v>
      </c>
      <c r="I15" s="11" t="n">
        <v>159</v>
      </c>
      <c r="J15" s="12" t="n">
        <v>0.05</v>
      </c>
      <c r="K15" s="11">
        <f>H15*I15*(1-J15)</f>
        <v/>
      </c>
      <c r="L15" s="11" t="n">
        <v>79</v>
      </c>
      <c r="M15" s="11">
        <f>K15-(H15*L15)</f>
        <v/>
      </c>
      <c r="N15" s="11">
        <f>H15*15</f>
        <v/>
      </c>
    </row>
    <row r="16">
      <c r="A16" t="inlineStr">
        <is>
          <t>LL-00015</t>
        </is>
      </c>
      <c r="B16" s="10" t="n">
        <v>46294</v>
      </c>
      <c r="C16" t="inlineStr">
        <is>
          <t>Sep</t>
        </is>
      </c>
      <c r="D16" t="inlineStr">
        <is>
          <t>West</t>
        </is>
      </c>
      <c r="E16" t="inlineStr">
        <is>
          <t>Retail</t>
        </is>
      </c>
      <c r="F16" t="inlineStr">
        <is>
          <t>Arc Side Table</t>
        </is>
      </c>
      <c r="G16" t="inlineStr">
        <is>
          <t>Living</t>
        </is>
      </c>
      <c r="H16" t="n">
        <v>5</v>
      </c>
      <c r="I16" s="11" t="n">
        <v>139</v>
      </c>
      <c r="J16" s="12" t="n">
        <v>0.1</v>
      </c>
      <c r="K16" s="11">
        <f>H16*I16*(1-J16)</f>
        <v/>
      </c>
      <c r="L16" s="11" t="n">
        <v>72</v>
      </c>
      <c r="M16" s="11">
        <f>K16-(H16*L16)</f>
        <v/>
      </c>
      <c r="N16" s="11">
        <f>H16*6</f>
        <v/>
      </c>
    </row>
    <row r="17">
      <c r="A17" t="inlineStr">
        <is>
          <t>LL-00016</t>
        </is>
      </c>
      <c r="B17" s="10" t="n">
        <v>46193</v>
      </c>
      <c r="C17" t="inlineStr">
        <is>
          <t>Jun</t>
        </is>
      </c>
      <c r="D17" t="inlineStr">
        <is>
          <t>North</t>
        </is>
      </c>
      <c r="E17" t="inlineStr">
        <is>
          <t>Retail</t>
        </is>
      </c>
      <c r="F17" t="inlineStr">
        <is>
          <t>Arc Side Table</t>
        </is>
      </c>
      <c r="G17" t="inlineStr">
        <is>
          <t>Living</t>
        </is>
      </c>
      <c r="H17" t="n">
        <v>1</v>
      </c>
      <c r="I17" s="11" t="n">
        <v>139</v>
      </c>
      <c r="J17" s="12" t="n">
        <v>0</v>
      </c>
      <c r="K17" s="11">
        <f>H17*I17*(1-J17)</f>
        <v/>
      </c>
      <c r="L17" s="11" t="n">
        <v>72</v>
      </c>
      <c r="M17" s="11">
        <f>K17-(H17*L17)</f>
        <v/>
      </c>
      <c r="N17" s="11">
        <f>H17*6</f>
        <v/>
      </c>
    </row>
    <row r="18">
      <c r="A18" t="inlineStr">
        <is>
          <t>LL-00017</t>
        </is>
      </c>
      <c r="B18" s="10" t="n">
        <v>46249</v>
      </c>
      <c r="C18" t="inlineStr">
        <is>
          <t>Aug</t>
        </is>
      </c>
      <c r="D18" t="inlineStr">
        <is>
          <t>North</t>
        </is>
      </c>
      <c r="E18" t="inlineStr">
        <is>
          <t>Retail</t>
        </is>
      </c>
      <c r="F18" t="inlineStr">
        <is>
          <t>Nest Basket</t>
        </is>
      </c>
      <c r="G18" t="inlineStr">
        <is>
          <t>Living</t>
        </is>
      </c>
      <c r="H18" t="n">
        <v>8</v>
      </c>
      <c r="I18" s="11" t="n">
        <v>55</v>
      </c>
      <c r="J18" s="12" t="n">
        <v>0.05</v>
      </c>
      <c r="K18" s="11">
        <f>H18*I18*(1-J18)</f>
        <v/>
      </c>
      <c r="L18" s="11" t="n">
        <v>24</v>
      </c>
      <c r="M18" s="11">
        <f>K18-(H18*L18)</f>
        <v/>
      </c>
      <c r="N18" s="11">
        <f>H18*6</f>
        <v/>
      </c>
    </row>
    <row r="19">
      <c r="A19" t="inlineStr">
        <is>
          <t>LL-00018</t>
        </is>
      </c>
      <c r="B19" s="10" t="n">
        <v>46323</v>
      </c>
      <c r="C19" t="inlineStr">
        <is>
          <t>Oct</t>
        </is>
      </c>
      <c r="D19" t="inlineStr">
        <is>
          <t>East</t>
        </is>
      </c>
      <c r="E19" t="inlineStr">
        <is>
          <t>Online</t>
        </is>
      </c>
      <c r="F19" t="inlineStr">
        <is>
          <t>Halo Floor Lamp</t>
        </is>
      </c>
      <c r="G19" t="inlineStr">
        <is>
          <t>Lighting</t>
        </is>
      </c>
      <c r="H19" t="n">
        <v>6</v>
      </c>
      <c r="I19" s="11" t="n">
        <v>159</v>
      </c>
      <c r="J19" s="12" t="n">
        <v>0.1</v>
      </c>
      <c r="K19" s="11">
        <f>H19*I19*(1-J19)</f>
        <v/>
      </c>
      <c r="L19" s="11" t="n">
        <v>79</v>
      </c>
      <c r="M19" s="11">
        <f>K19-(H19*L19)</f>
        <v/>
      </c>
      <c r="N19" s="11">
        <f>H19*11</f>
        <v/>
      </c>
    </row>
    <row r="20">
      <c r="A20" t="inlineStr">
        <is>
          <t>LL-00019</t>
        </is>
      </c>
      <c r="B20" s="10" t="n">
        <v>46243</v>
      </c>
      <c r="C20" t="inlineStr">
        <is>
          <t>Aug</t>
        </is>
      </c>
      <c r="D20" t="inlineStr">
        <is>
          <t>North</t>
        </is>
      </c>
      <c r="E20" t="inlineStr">
        <is>
          <t>Online</t>
        </is>
      </c>
      <c r="F20" t="inlineStr">
        <is>
          <t>Luna Throw</t>
        </is>
      </c>
      <c r="G20" t="inlineStr">
        <is>
          <t>Living</t>
        </is>
      </c>
      <c r="H20" t="n">
        <v>6</v>
      </c>
      <c r="I20" s="11" t="n">
        <v>69</v>
      </c>
      <c r="J20" s="12" t="n">
        <v>0</v>
      </c>
      <c r="K20" s="11">
        <f>H20*I20*(1-J20)</f>
        <v/>
      </c>
      <c r="L20" s="11" t="n">
        <v>31</v>
      </c>
      <c r="M20" s="11">
        <f>K20-(H20*L20)</f>
        <v/>
      </c>
      <c r="N20" s="11">
        <f>H20*11</f>
        <v/>
      </c>
    </row>
    <row r="21">
      <c r="A21" t="inlineStr">
        <is>
          <t>LL-00020</t>
        </is>
      </c>
      <c r="B21" s="10" t="n">
        <v>46324</v>
      </c>
      <c r="C21" t="inlineStr">
        <is>
          <t>Oct</t>
        </is>
      </c>
      <c r="D21" t="inlineStr">
        <is>
          <t>South</t>
        </is>
      </c>
      <c r="E21" t="inlineStr">
        <is>
          <t>Retail</t>
        </is>
      </c>
      <c r="F21" t="inlineStr">
        <is>
          <t>Arc Side Table</t>
        </is>
      </c>
      <c r="G21" t="inlineStr">
        <is>
          <t>Living</t>
        </is>
      </c>
      <c r="H21" t="n">
        <v>3</v>
      </c>
      <c r="I21" s="11" t="n">
        <v>139</v>
      </c>
      <c r="J21" s="12" t="n">
        <v>0</v>
      </c>
      <c r="K21" s="11">
        <f>H21*I21*(1-J21)</f>
        <v/>
      </c>
      <c r="L21" s="11" t="n">
        <v>72</v>
      </c>
      <c r="M21" s="11">
        <f>K21-(H21*L21)</f>
        <v/>
      </c>
      <c r="N21" s="11">
        <f>H21*6</f>
        <v/>
      </c>
    </row>
    <row r="22">
      <c r="A22" t="inlineStr">
        <is>
          <t>LL-00021</t>
        </is>
      </c>
      <c r="B22" s="10" t="n">
        <v>46319</v>
      </c>
      <c r="C22" t="inlineStr">
        <is>
          <t>Oct</t>
        </is>
      </c>
      <c r="D22" t="inlineStr">
        <is>
          <t>North</t>
        </is>
      </c>
      <c r="E22" t="inlineStr">
        <is>
          <t>Online</t>
        </is>
      </c>
      <c r="F22" t="inlineStr">
        <is>
          <t>Nest Basket</t>
        </is>
      </c>
      <c r="G22" t="inlineStr">
        <is>
          <t>Living</t>
        </is>
      </c>
      <c r="H22" t="n">
        <v>4</v>
      </c>
      <c r="I22" s="11" t="n">
        <v>55</v>
      </c>
      <c r="J22" s="12" t="n">
        <v>0.05</v>
      </c>
      <c r="K22" s="11">
        <f>H22*I22*(1-J22)</f>
        <v/>
      </c>
      <c r="L22" s="11" t="n">
        <v>24</v>
      </c>
      <c r="M22" s="11">
        <f>K22-(H22*L22)</f>
        <v/>
      </c>
      <c r="N22" s="11">
        <f>H22*11</f>
        <v/>
      </c>
    </row>
    <row r="23">
      <c r="A23" t="inlineStr">
        <is>
          <t>LL-00022</t>
        </is>
      </c>
      <c r="B23" s="10" t="n">
        <v>46069</v>
      </c>
      <c r="C23" t="inlineStr">
        <is>
          <t>Feb</t>
        </is>
      </c>
      <c r="D23" t="inlineStr">
        <is>
          <t>West</t>
        </is>
      </c>
      <c r="E23" t="inlineStr">
        <is>
          <t>Retail</t>
        </is>
      </c>
      <c r="F23" t="inlineStr">
        <is>
          <t>Aurora Desk Lamp</t>
        </is>
      </c>
      <c r="G23" t="inlineStr">
        <is>
          <t>Lighting</t>
        </is>
      </c>
      <c r="H23" t="n">
        <v>6</v>
      </c>
      <c r="I23" s="11" t="n">
        <v>89</v>
      </c>
      <c r="J23" s="12" t="n">
        <v>0</v>
      </c>
      <c r="K23" s="11">
        <f>H23*I23*(1-J23)</f>
        <v/>
      </c>
      <c r="L23" s="11" t="n">
        <v>42</v>
      </c>
      <c r="M23" s="11">
        <f>K23-(H23*L23)</f>
        <v/>
      </c>
      <c r="N23" s="11">
        <f>H23*6</f>
        <v/>
      </c>
    </row>
    <row r="24">
      <c r="A24" t="inlineStr">
        <is>
          <t>LL-00023</t>
        </is>
      </c>
      <c r="B24" s="10" t="n">
        <v>46175</v>
      </c>
      <c r="C24" t="inlineStr">
        <is>
          <t>Jun</t>
        </is>
      </c>
      <c r="D24" t="inlineStr">
        <is>
          <t>South</t>
        </is>
      </c>
      <c r="E24" t="inlineStr">
        <is>
          <t>Marketplace</t>
        </is>
      </c>
      <c r="F24" t="inlineStr">
        <is>
          <t>Focus Monitor Stand</t>
        </is>
      </c>
      <c r="G24" t="inlineStr">
        <is>
          <t>Workspace</t>
        </is>
      </c>
      <c r="H24" t="n">
        <v>1</v>
      </c>
      <c r="I24" s="11" t="n">
        <v>79</v>
      </c>
      <c r="J24" s="12" t="n">
        <v>0</v>
      </c>
      <c r="K24" s="11">
        <f>H24*I24*(1-J24)</f>
        <v/>
      </c>
      <c r="L24" s="11" t="n">
        <v>36</v>
      </c>
      <c r="M24" s="11">
        <f>K24-(H24*L24)</f>
        <v/>
      </c>
      <c r="N24" s="11">
        <f>H24*15</f>
        <v/>
      </c>
    </row>
    <row r="25">
      <c r="A25" t="inlineStr">
        <is>
          <t>LL-00024</t>
        </is>
      </c>
      <c r="B25" s="10" t="n">
        <v>46190</v>
      </c>
      <c r="C25" t="inlineStr">
        <is>
          <t>Jun</t>
        </is>
      </c>
      <c r="D25" t="inlineStr">
        <is>
          <t>North</t>
        </is>
      </c>
      <c r="E25" t="inlineStr">
        <is>
          <t>Online</t>
        </is>
      </c>
      <c r="F25" t="inlineStr">
        <is>
          <t>Focus Monitor Stand</t>
        </is>
      </c>
      <c r="G25" t="inlineStr">
        <is>
          <t>Workspace</t>
        </is>
      </c>
      <c r="H25" t="n">
        <v>5</v>
      </c>
      <c r="I25" s="11" t="n">
        <v>79</v>
      </c>
      <c r="J25" s="12" t="n">
        <v>0.15</v>
      </c>
      <c r="K25" s="11">
        <f>H25*I25*(1-J25)</f>
        <v/>
      </c>
      <c r="L25" s="11" t="n">
        <v>36</v>
      </c>
      <c r="M25" s="11">
        <f>K25-(H25*L25)</f>
        <v/>
      </c>
      <c r="N25" s="11">
        <f>H25*11</f>
        <v/>
      </c>
    </row>
    <row r="26">
      <c r="A26" t="inlineStr">
        <is>
          <t>LL-00025</t>
        </is>
      </c>
      <c r="B26" s="10" t="n">
        <v>46039</v>
      </c>
      <c r="C26" t="inlineStr">
        <is>
          <t>Jan</t>
        </is>
      </c>
      <c r="D26" t="inlineStr">
        <is>
          <t>North</t>
        </is>
      </c>
      <c r="E26" t="inlineStr">
        <is>
          <t>Online</t>
        </is>
      </c>
      <c r="F26" t="inlineStr">
        <is>
          <t>Nest Basket</t>
        </is>
      </c>
      <c r="G26" t="inlineStr">
        <is>
          <t>Living</t>
        </is>
      </c>
      <c r="H26" t="n">
        <v>4</v>
      </c>
      <c r="I26" s="11" t="n">
        <v>55</v>
      </c>
      <c r="J26" s="12" t="n">
        <v>0.05</v>
      </c>
      <c r="K26" s="11">
        <f>H26*I26*(1-J26)</f>
        <v/>
      </c>
      <c r="L26" s="11" t="n">
        <v>24</v>
      </c>
      <c r="M26" s="11">
        <f>K26-(H26*L26)</f>
        <v/>
      </c>
      <c r="N26" s="11">
        <f>H26*11</f>
        <v/>
      </c>
    </row>
    <row r="27">
      <c r="A27" t="inlineStr">
        <is>
          <t>LL-00026</t>
        </is>
      </c>
      <c r="B27" s="10" t="n">
        <v>46085</v>
      </c>
      <c r="C27" t="inlineStr">
        <is>
          <t>Mar</t>
        </is>
      </c>
      <c r="D27" t="inlineStr">
        <is>
          <t>East</t>
        </is>
      </c>
      <c r="E27" t="inlineStr">
        <is>
          <t>Retail</t>
        </is>
      </c>
      <c r="F27" t="inlineStr">
        <is>
          <t>Focus Monitor Stand</t>
        </is>
      </c>
      <c r="G27" t="inlineStr">
        <is>
          <t>Workspace</t>
        </is>
      </c>
      <c r="H27" t="n">
        <v>4</v>
      </c>
      <c r="I27" s="11" t="n">
        <v>79</v>
      </c>
      <c r="J27" s="12" t="n">
        <v>0.05</v>
      </c>
      <c r="K27" s="11">
        <f>H27*I27*(1-J27)</f>
        <v/>
      </c>
      <c r="L27" s="11" t="n">
        <v>36</v>
      </c>
      <c r="M27" s="11">
        <f>K27-(H27*L27)</f>
        <v/>
      </c>
      <c r="N27" s="11">
        <f>H27*6</f>
        <v/>
      </c>
    </row>
    <row r="28">
      <c r="A28" t="inlineStr">
        <is>
          <t>LL-00027</t>
        </is>
      </c>
      <c r="B28" s="10" t="n">
        <v>46047</v>
      </c>
      <c r="C28" t="inlineStr">
        <is>
          <t>Jan</t>
        </is>
      </c>
      <c r="D28" t="inlineStr">
        <is>
          <t>South</t>
        </is>
      </c>
      <c r="E28" t="inlineStr">
        <is>
          <t>Retail</t>
        </is>
      </c>
      <c r="F28" t="inlineStr">
        <is>
          <t>Arc Side Table</t>
        </is>
      </c>
      <c r="G28" t="inlineStr">
        <is>
          <t>Living</t>
        </is>
      </c>
      <c r="H28" t="n">
        <v>2</v>
      </c>
      <c r="I28" s="11" t="n">
        <v>139</v>
      </c>
      <c r="J28" s="12" t="n">
        <v>0.05</v>
      </c>
      <c r="K28" s="11">
        <f>H28*I28*(1-J28)</f>
        <v/>
      </c>
      <c r="L28" s="11" t="n">
        <v>72</v>
      </c>
      <c r="M28" s="11">
        <f>K28-(H28*L28)</f>
        <v/>
      </c>
      <c r="N28" s="11">
        <f>H28*6</f>
        <v/>
      </c>
    </row>
    <row r="29">
      <c r="A29" t="inlineStr">
        <is>
          <t>LL-00028</t>
        </is>
      </c>
      <c r="B29" s="10" t="n">
        <v>46179</v>
      </c>
      <c r="C29" t="inlineStr">
        <is>
          <t>Jun</t>
        </is>
      </c>
      <c r="D29" t="inlineStr">
        <is>
          <t>East</t>
        </is>
      </c>
      <c r="E29" t="inlineStr">
        <is>
          <t>Retail</t>
        </is>
      </c>
      <c r="F29" t="inlineStr">
        <is>
          <t>Aurora Desk Lamp</t>
        </is>
      </c>
      <c r="G29" t="inlineStr">
        <is>
          <t>Lighting</t>
        </is>
      </c>
      <c r="H29" t="n">
        <v>4</v>
      </c>
      <c r="I29" s="11" t="n">
        <v>89</v>
      </c>
      <c r="J29" s="12" t="n">
        <v>0.1</v>
      </c>
      <c r="K29" s="11">
        <f>H29*I29*(1-J29)</f>
        <v/>
      </c>
      <c r="L29" s="11" t="n">
        <v>42</v>
      </c>
      <c r="M29" s="11">
        <f>K29-(H29*L29)</f>
        <v/>
      </c>
      <c r="N29" s="11">
        <f>H29*6</f>
        <v/>
      </c>
    </row>
    <row r="30">
      <c r="A30" t="inlineStr">
        <is>
          <t>LL-00029</t>
        </is>
      </c>
      <c r="B30" s="10" t="n">
        <v>46193</v>
      </c>
      <c r="C30" t="inlineStr">
        <is>
          <t>Jun</t>
        </is>
      </c>
      <c r="D30" t="inlineStr">
        <is>
          <t>West</t>
        </is>
      </c>
      <c r="E30" t="inlineStr">
        <is>
          <t>Retail</t>
        </is>
      </c>
      <c r="F30" t="inlineStr">
        <is>
          <t>Arc Side Table</t>
        </is>
      </c>
      <c r="G30" t="inlineStr">
        <is>
          <t>Living</t>
        </is>
      </c>
      <c r="H30" t="n">
        <v>3</v>
      </c>
      <c r="I30" s="11" t="n">
        <v>139</v>
      </c>
      <c r="J30" s="12" t="n">
        <v>0</v>
      </c>
      <c r="K30" s="11">
        <f>H30*I30*(1-J30)</f>
        <v/>
      </c>
      <c r="L30" s="11" t="n">
        <v>72</v>
      </c>
      <c r="M30" s="11">
        <f>K30-(H30*L30)</f>
        <v/>
      </c>
      <c r="N30" s="11">
        <f>H30*6</f>
        <v/>
      </c>
    </row>
    <row r="31">
      <c r="A31" t="inlineStr">
        <is>
          <t>LL-00030</t>
        </is>
      </c>
      <c r="B31" s="10" t="n">
        <v>46069</v>
      </c>
      <c r="C31" t="inlineStr">
        <is>
          <t>Feb</t>
        </is>
      </c>
      <c r="D31" t="inlineStr">
        <is>
          <t>West</t>
        </is>
      </c>
      <c r="E31" t="inlineStr">
        <is>
          <t>Online</t>
        </is>
      </c>
      <c r="F31" t="inlineStr">
        <is>
          <t>Nest Basket</t>
        </is>
      </c>
      <c r="G31" t="inlineStr">
        <is>
          <t>Living</t>
        </is>
      </c>
      <c r="H31" t="n">
        <v>3</v>
      </c>
      <c r="I31" s="11" t="n">
        <v>55</v>
      </c>
      <c r="J31" s="12" t="n">
        <v>0.1</v>
      </c>
      <c r="K31" s="11">
        <f>H31*I31*(1-J31)</f>
        <v/>
      </c>
      <c r="L31" s="11" t="n">
        <v>24</v>
      </c>
      <c r="M31" s="11">
        <f>K31-(H31*L31)</f>
        <v/>
      </c>
      <c r="N31" s="11">
        <f>H31*11</f>
        <v/>
      </c>
    </row>
    <row r="32">
      <c r="A32" t="inlineStr">
        <is>
          <t>LL-00031</t>
        </is>
      </c>
      <c r="B32" s="10" t="n">
        <v>46300</v>
      </c>
      <c r="C32" t="inlineStr">
        <is>
          <t>Oct</t>
        </is>
      </c>
      <c r="D32" t="inlineStr">
        <is>
          <t>West</t>
        </is>
      </c>
      <c r="E32" t="inlineStr">
        <is>
          <t>Online</t>
        </is>
      </c>
      <c r="F32" t="inlineStr">
        <is>
          <t>Focus Monitor Stand</t>
        </is>
      </c>
      <c r="G32" t="inlineStr">
        <is>
          <t>Workspace</t>
        </is>
      </c>
      <c r="H32" t="n">
        <v>1</v>
      </c>
      <c r="I32" s="11" t="n">
        <v>79</v>
      </c>
      <c r="J32" s="12" t="n">
        <v>0.2</v>
      </c>
      <c r="K32" s="11">
        <f>H32*I32*(1-J32)</f>
        <v/>
      </c>
      <c r="L32" s="11" t="n">
        <v>36</v>
      </c>
      <c r="M32" s="11">
        <f>K32-(H32*L32)</f>
        <v/>
      </c>
      <c r="N32" s="11">
        <f>H32*11</f>
        <v/>
      </c>
    </row>
    <row r="33">
      <c r="A33" t="inlineStr">
        <is>
          <t>LL-00032</t>
        </is>
      </c>
      <c r="B33" s="10" t="n">
        <v>46359</v>
      </c>
      <c r="C33" t="inlineStr">
        <is>
          <t>Dec</t>
        </is>
      </c>
      <c r="D33" t="inlineStr">
        <is>
          <t>East</t>
        </is>
      </c>
      <c r="E33" t="inlineStr">
        <is>
          <t>Retail</t>
        </is>
      </c>
      <c r="F33" t="inlineStr">
        <is>
          <t>Aurora Desk Lamp</t>
        </is>
      </c>
      <c r="G33" t="inlineStr">
        <is>
          <t>Lighting</t>
        </is>
      </c>
      <c r="H33" t="n">
        <v>3</v>
      </c>
      <c r="I33" s="11" t="n">
        <v>89</v>
      </c>
      <c r="J33" s="12" t="n">
        <v>0.05</v>
      </c>
      <c r="K33" s="11">
        <f>H33*I33*(1-J33)</f>
        <v/>
      </c>
      <c r="L33" s="11" t="n">
        <v>42</v>
      </c>
      <c r="M33" s="11">
        <f>K33-(H33*L33)</f>
        <v/>
      </c>
      <c r="N33" s="11">
        <f>H33*6</f>
        <v/>
      </c>
    </row>
    <row r="34">
      <c r="A34" t="inlineStr">
        <is>
          <t>LL-00033</t>
        </is>
      </c>
      <c r="B34" s="10" t="n">
        <v>46272</v>
      </c>
      <c r="C34" t="inlineStr">
        <is>
          <t>Sep</t>
        </is>
      </c>
      <c r="D34" t="inlineStr">
        <is>
          <t>East</t>
        </is>
      </c>
      <c r="E34" t="inlineStr">
        <is>
          <t>Online</t>
        </is>
      </c>
      <c r="F34" t="inlineStr">
        <is>
          <t>Arc Side Table</t>
        </is>
      </c>
      <c r="G34" t="inlineStr">
        <is>
          <t>Living</t>
        </is>
      </c>
      <c r="H34" t="n">
        <v>2</v>
      </c>
      <c r="I34" s="11" t="n">
        <v>139</v>
      </c>
      <c r="J34" s="12" t="n">
        <v>0.15</v>
      </c>
      <c r="K34" s="11">
        <f>H34*I34*(1-J34)</f>
        <v/>
      </c>
      <c r="L34" s="11" t="n">
        <v>72</v>
      </c>
      <c r="M34" s="11">
        <f>K34-(H34*L34)</f>
        <v/>
      </c>
      <c r="N34" s="11">
        <f>H34*11</f>
        <v/>
      </c>
    </row>
    <row r="35">
      <c r="A35" t="inlineStr">
        <is>
          <t>LL-00034</t>
        </is>
      </c>
      <c r="B35" s="10" t="n">
        <v>46319</v>
      </c>
      <c r="C35" t="inlineStr">
        <is>
          <t>Oct</t>
        </is>
      </c>
      <c r="D35" t="inlineStr">
        <is>
          <t>South</t>
        </is>
      </c>
      <c r="E35" t="inlineStr">
        <is>
          <t>Marketplace</t>
        </is>
      </c>
      <c r="F35" t="inlineStr">
        <is>
          <t>Arc Side Table</t>
        </is>
      </c>
      <c r="G35" t="inlineStr">
        <is>
          <t>Living</t>
        </is>
      </c>
      <c r="H35" t="n">
        <v>7</v>
      </c>
      <c r="I35" s="11" t="n">
        <v>139</v>
      </c>
      <c r="J35" s="12" t="n">
        <v>0.1</v>
      </c>
      <c r="K35" s="11">
        <f>H35*I35*(1-J35)</f>
        <v/>
      </c>
      <c r="L35" s="11" t="n">
        <v>72</v>
      </c>
      <c r="M35" s="11">
        <f>K35-(H35*L35)</f>
        <v/>
      </c>
      <c r="N35" s="11">
        <f>H35*15</f>
        <v/>
      </c>
    </row>
    <row r="36">
      <c r="A36" t="inlineStr">
        <is>
          <t>LL-00035</t>
        </is>
      </c>
      <c r="B36" s="10" t="n">
        <v>46226</v>
      </c>
      <c r="C36" t="inlineStr">
        <is>
          <t>Jul</t>
        </is>
      </c>
      <c r="D36" t="inlineStr">
        <is>
          <t>East</t>
        </is>
      </c>
      <c r="E36" t="inlineStr">
        <is>
          <t>Online</t>
        </is>
      </c>
      <c r="F36" t="inlineStr">
        <is>
          <t>Focus Monitor Stand</t>
        </is>
      </c>
      <c r="G36" t="inlineStr">
        <is>
          <t>Workspace</t>
        </is>
      </c>
      <c r="H36" t="n">
        <v>2</v>
      </c>
      <c r="I36" s="11" t="n">
        <v>79</v>
      </c>
      <c r="J36" s="12" t="n">
        <v>0.1</v>
      </c>
      <c r="K36" s="11">
        <f>H36*I36*(1-J36)</f>
        <v/>
      </c>
      <c r="L36" s="11" t="n">
        <v>36</v>
      </c>
      <c r="M36" s="11">
        <f>K36-(H36*L36)</f>
        <v/>
      </c>
      <c r="N36" s="11">
        <f>H36*11</f>
        <v/>
      </c>
    </row>
    <row r="37">
      <c r="A37" t="inlineStr">
        <is>
          <t>LL-00036</t>
        </is>
      </c>
      <c r="B37" s="10" t="n">
        <v>46080</v>
      </c>
      <c r="C37" t="inlineStr">
        <is>
          <t>Feb</t>
        </is>
      </c>
      <c r="D37" t="inlineStr">
        <is>
          <t>North</t>
        </is>
      </c>
      <c r="E37" t="inlineStr">
        <is>
          <t>Online</t>
        </is>
      </c>
      <c r="F37" t="inlineStr">
        <is>
          <t>Nest Basket</t>
        </is>
      </c>
      <c r="G37" t="inlineStr">
        <is>
          <t>Living</t>
        </is>
      </c>
      <c r="H37" t="n">
        <v>3</v>
      </c>
      <c r="I37" s="11" t="n">
        <v>55</v>
      </c>
      <c r="J37" s="12" t="n">
        <v>0.05</v>
      </c>
      <c r="K37" s="11">
        <f>H37*I37*(1-J37)</f>
        <v/>
      </c>
      <c r="L37" s="11" t="n">
        <v>24</v>
      </c>
      <c r="M37" s="11">
        <f>K37-(H37*L37)</f>
        <v/>
      </c>
      <c r="N37" s="11">
        <f>H37*11</f>
        <v/>
      </c>
    </row>
    <row r="38">
      <c r="A38" t="inlineStr">
        <is>
          <t>LL-00037</t>
        </is>
      </c>
      <c r="B38" s="10" t="n">
        <v>46161</v>
      </c>
      <c r="C38" t="inlineStr">
        <is>
          <t>May</t>
        </is>
      </c>
      <c r="D38" t="inlineStr">
        <is>
          <t>West</t>
        </is>
      </c>
      <c r="E38" t="inlineStr">
        <is>
          <t>Retail</t>
        </is>
      </c>
      <c r="F38" t="inlineStr">
        <is>
          <t>Arc Side Table</t>
        </is>
      </c>
      <c r="G38" t="inlineStr">
        <is>
          <t>Living</t>
        </is>
      </c>
      <c r="H38" t="n">
        <v>6</v>
      </c>
      <c r="I38" s="11" t="n">
        <v>139</v>
      </c>
      <c r="J38" s="12" t="n">
        <v>0.15</v>
      </c>
      <c r="K38" s="11">
        <f>H38*I38*(1-J38)</f>
        <v/>
      </c>
      <c r="L38" s="11" t="n">
        <v>72</v>
      </c>
      <c r="M38" s="11">
        <f>K38-(H38*L38)</f>
        <v/>
      </c>
      <c r="N38" s="11">
        <f>H38*6</f>
        <v/>
      </c>
    </row>
    <row r="39">
      <c r="A39" t="inlineStr">
        <is>
          <t>LL-00038</t>
        </is>
      </c>
      <c r="B39" s="10" t="n">
        <v>46037</v>
      </c>
      <c r="C39" t="inlineStr">
        <is>
          <t>Jan</t>
        </is>
      </c>
      <c r="D39" t="inlineStr">
        <is>
          <t>South</t>
        </is>
      </c>
      <c r="E39" t="inlineStr">
        <is>
          <t>Online</t>
        </is>
      </c>
      <c r="F39" t="inlineStr">
        <is>
          <t>Luna Throw</t>
        </is>
      </c>
      <c r="G39" t="inlineStr">
        <is>
          <t>Living</t>
        </is>
      </c>
      <c r="H39" t="n">
        <v>6</v>
      </c>
      <c r="I39" s="11" t="n">
        <v>69</v>
      </c>
      <c r="J39" s="12" t="n">
        <v>0.15</v>
      </c>
      <c r="K39" s="11">
        <f>H39*I39*(1-J39)</f>
        <v/>
      </c>
      <c r="L39" s="11" t="n">
        <v>31</v>
      </c>
      <c r="M39" s="11">
        <f>K39-(H39*L39)</f>
        <v/>
      </c>
      <c r="N39" s="11">
        <f>H39*11</f>
        <v/>
      </c>
    </row>
    <row r="40">
      <c r="A40" t="inlineStr">
        <is>
          <t>LL-00039</t>
        </is>
      </c>
      <c r="B40" s="10" t="n">
        <v>46170</v>
      </c>
      <c r="C40" t="inlineStr">
        <is>
          <t>May</t>
        </is>
      </c>
      <c r="D40" t="inlineStr">
        <is>
          <t>West</t>
        </is>
      </c>
      <c r="E40" t="inlineStr">
        <is>
          <t>Retail</t>
        </is>
      </c>
      <c r="F40" t="inlineStr">
        <is>
          <t>Focus Monitor Stand</t>
        </is>
      </c>
      <c r="G40" t="inlineStr">
        <is>
          <t>Workspace</t>
        </is>
      </c>
      <c r="H40" t="n">
        <v>5</v>
      </c>
      <c r="I40" s="11" t="n">
        <v>79</v>
      </c>
      <c r="J40" s="12" t="n">
        <v>0</v>
      </c>
      <c r="K40" s="11">
        <f>H40*I40*(1-J40)</f>
        <v/>
      </c>
      <c r="L40" s="11" t="n">
        <v>36</v>
      </c>
      <c r="M40" s="11">
        <f>K40-(H40*L40)</f>
        <v/>
      </c>
      <c r="N40" s="11">
        <f>H40*6</f>
        <v/>
      </c>
    </row>
    <row r="41">
      <c r="A41" t="inlineStr">
        <is>
          <t>LL-00040</t>
        </is>
      </c>
      <c r="B41" s="10" t="n">
        <v>46170</v>
      </c>
      <c r="C41" t="inlineStr">
        <is>
          <t>May</t>
        </is>
      </c>
      <c r="D41" t="inlineStr">
        <is>
          <t>East</t>
        </is>
      </c>
      <c r="E41" t="inlineStr">
        <is>
          <t>Online</t>
        </is>
      </c>
      <c r="F41" t="inlineStr">
        <is>
          <t>Luna Throw</t>
        </is>
      </c>
      <c r="G41" t="inlineStr">
        <is>
          <t>Living</t>
        </is>
      </c>
      <c r="H41" t="n">
        <v>1</v>
      </c>
      <c r="I41" s="11" t="n">
        <v>69</v>
      </c>
      <c r="J41" s="12" t="n">
        <v>0.2</v>
      </c>
      <c r="K41" s="11">
        <f>H41*I41*(1-J41)</f>
        <v/>
      </c>
      <c r="L41" s="11" t="n">
        <v>31</v>
      </c>
      <c r="M41" s="11">
        <f>K41-(H41*L41)</f>
        <v/>
      </c>
      <c r="N41" s="11">
        <f>H41*11</f>
        <v/>
      </c>
    </row>
    <row r="42">
      <c r="A42" t="inlineStr">
        <is>
          <t>LL-00041</t>
        </is>
      </c>
      <c r="B42" s="10" t="n">
        <v>46104</v>
      </c>
      <c r="C42" t="inlineStr">
        <is>
          <t>Mar</t>
        </is>
      </c>
      <c r="D42" t="inlineStr">
        <is>
          <t>East</t>
        </is>
      </c>
      <c r="E42" t="inlineStr">
        <is>
          <t>Online</t>
        </is>
      </c>
      <c r="F42" t="inlineStr">
        <is>
          <t>Luna Throw</t>
        </is>
      </c>
      <c r="G42" t="inlineStr">
        <is>
          <t>Living</t>
        </is>
      </c>
      <c r="H42" t="n">
        <v>4</v>
      </c>
      <c r="I42" s="11" t="n">
        <v>69</v>
      </c>
      <c r="J42" s="12" t="n">
        <v>0.1</v>
      </c>
      <c r="K42" s="11">
        <f>H42*I42*(1-J42)</f>
        <v/>
      </c>
      <c r="L42" s="11" t="n">
        <v>31</v>
      </c>
      <c r="M42" s="11">
        <f>K42-(H42*L42)</f>
        <v/>
      </c>
      <c r="N42" s="11">
        <f>H42*11</f>
        <v/>
      </c>
    </row>
    <row r="43">
      <c r="A43" t="inlineStr">
        <is>
          <t>LL-00042</t>
        </is>
      </c>
      <c r="B43" s="10" t="n">
        <v>46350</v>
      </c>
      <c r="C43" t="inlineStr">
        <is>
          <t>Nov</t>
        </is>
      </c>
      <c r="D43" t="inlineStr">
        <is>
          <t>North</t>
        </is>
      </c>
      <c r="E43" t="inlineStr">
        <is>
          <t>Online</t>
        </is>
      </c>
      <c r="F43" t="inlineStr">
        <is>
          <t>Luna Throw</t>
        </is>
      </c>
      <c r="G43" t="inlineStr">
        <is>
          <t>Living</t>
        </is>
      </c>
      <c r="H43" t="n">
        <v>6</v>
      </c>
      <c r="I43" s="11" t="n">
        <v>69</v>
      </c>
      <c r="J43" s="12" t="n">
        <v>0</v>
      </c>
      <c r="K43" s="11">
        <f>H43*I43*(1-J43)</f>
        <v/>
      </c>
      <c r="L43" s="11" t="n">
        <v>31</v>
      </c>
      <c r="M43" s="11">
        <f>K43-(H43*L43)</f>
        <v/>
      </c>
      <c r="N43" s="11">
        <f>H43*11</f>
        <v/>
      </c>
    </row>
    <row r="44">
      <c r="A44" t="inlineStr">
        <is>
          <t>LL-00043</t>
        </is>
      </c>
      <c r="B44" s="10" t="n">
        <v>46224</v>
      </c>
      <c r="C44" t="inlineStr">
        <is>
          <t>Jul</t>
        </is>
      </c>
      <c r="D44" t="inlineStr">
        <is>
          <t>East</t>
        </is>
      </c>
      <c r="E44" t="inlineStr">
        <is>
          <t>Online</t>
        </is>
      </c>
      <c r="F44" t="inlineStr">
        <is>
          <t>Luna Throw</t>
        </is>
      </c>
      <c r="G44" t="inlineStr">
        <is>
          <t>Living</t>
        </is>
      </c>
      <c r="H44" t="n">
        <v>4</v>
      </c>
      <c r="I44" s="11" t="n">
        <v>69</v>
      </c>
      <c r="J44" s="12" t="n">
        <v>0.1</v>
      </c>
      <c r="K44" s="11">
        <f>H44*I44*(1-J44)</f>
        <v/>
      </c>
      <c r="L44" s="11" t="n">
        <v>31</v>
      </c>
      <c r="M44" s="11">
        <f>K44-(H44*L44)</f>
        <v/>
      </c>
      <c r="N44" s="11">
        <f>H44*11</f>
        <v/>
      </c>
    </row>
    <row r="45">
      <c r="A45" t="inlineStr">
        <is>
          <t>LL-00044</t>
        </is>
      </c>
      <c r="B45" s="10" t="n">
        <v>46149</v>
      </c>
      <c r="C45" t="inlineStr">
        <is>
          <t>May</t>
        </is>
      </c>
      <c r="D45" t="inlineStr">
        <is>
          <t>North</t>
        </is>
      </c>
      <c r="E45" t="inlineStr">
        <is>
          <t>Retail</t>
        </is>
      </c>
      <c r="F45" t="inlineStr">
        <is>
          <t>Halo Floor Lamp</t>
        </is>
      </c>
      <c r="G45" t="inlineStr">
        <is>
          <t>Lighting</t>
        </is>
      </c>
      <c r="H45" t="n">
        <v>3</v>
      </c>
      <c r="I45" s="11" t="n">
        <v>159</v>
      </c>
      <c r="J45" s="12" t="n">
        <v>0.1</v>
      </c>
      <c r="K45" s="11">
        <f>H45*I45*(1-J45)</f>
        <v/>
      </c>
      <c r="L45" s="11" t="n">
        <v>79</v>
      </c>
      <c r="M45" s="11">
        <f>K45-(H45*L45)</f>
        <v/>
      </c>
      <c r="N45" s="11">
        <f>H45*6</f>
        <v/>
      </c>
    </row>
    <row r="46">
      <c r="A46" t="inlineStr">
        <is>
          <t>LL-00045</t>
        </is>
      </c>
      <c r="B46" s="10" t="n">
        <v>46377</v>
      </c>
      <c r="C46" t="inlineStr">
        <is>
          <t>Dec</t>
        </is>
      </c>
      <c r="D46" t="inlineStr">
        <is>
          <t>East</t>
        </is>
      </c>
      <c r="E46" t="inlineStr">
        <is>
          <t>Retail</t>
        </is>
      </c>
      <c r="F46" t="inlineStr">
        <is>
          <t>Luna Throw</t>
        </is>
      </c>
      <c r="G46" t="inlineStr">
        <is>
          <t>Living</t>
        </is>
      </c>
      <c r="H46" t="n">
        <v>8</v>
      </c>
      <c r="I46" s="11" t="n">
        <v>69</v>
      </c>
      <c r="J46" s="12" t="n">
        <v>0.1</v>
      </c>
      <c r="K46" s="11">
        <f>H46*I46*(1-J46)</f>
        <v/>
      </c>
      <c r="L46" s="11" t="n">
        <v>31</v>
      </c>
      <c r="M46" s="11">
        <f>K46-(H46*L46)</f>
        <v/>
      </c>
      <c r="N46" s="11">
        <f>H46*6</f>
        <v/>
      </c>
    </row>
    <row r="47">
      <c r="A47" t="inlineStr">
        <is>
          <t>LL-00046</t>
        </is>
      </c>
      <c r="B47" s="10" t="n">
        <v>46140</v>
      </c>
      <c r="C47" t="inlineStr">
        <is>
          <t>Apr</t>
        </is>
      </c>
      <c r="D47" t="inlineStr">
        <is>
          <t>East</t>
        </is>
      </c>
      <c r="E47" t="inlineStr">
        <is>
          <t>Online</t>
        </is>
      </c>
      <c r="F47" t="inlineStr">
        <is>
          <t>Focus Monitor Stand</t>
        </is>
      </c>
      <c r="G47" t="inlineStr">
        <is>
          <t>Workspace</t>
        </is>
      </c>
      <c r="H47" t="n">
        <v>1</v>
      </c>
      <c r="I47" s="11" t="n">
        <v>79</v>
      </c>
      <c r="J47" s="12" t="n">
        <v>0</v>
      </c>
      <c r="K47" s="11">
        <f>H47*I47*(1-J47)</f>
        <v/>
      </c>
      <c r="L47" s="11" t="n">
        <v>36</v>
      </c>
      <c r="M47" s="11">
        <f>K47-(H47*L47)</f>
        <v/>
      </c>
      <c r="N47" s="11">
        <f>H47*11</f>
        <v/>
      </c>
    </row>
    <row r="48">
      <c r="A48" t="inlineStr">
        <is>
          <t>LL-00047</t>
        </is>
      </c>
      <c r="B48" s="10" t="n">
        <v>46342</v>
      </c>
      <c r="C48" t="inlineStr">
        <is>
          <t>Nov</t>
        </is>
      </c>
      <c r="D48" t="inlineStr">
        <is>
          <t>East</t>
        </is>
      </c>
      <c r="E48" t="inlineStr">
        <is>
          <t>Online</t>
        </is>
      </c>
      <c r="F48" t="inlineStr">
        <is>
          <t>Nest Basket</t>
        </is>
      </c>
      <c r="G48" t="inlineStr">
        <is>
          <t>Living</t>
        </is>
      </c>
      <c r="H48" t="n">
        <v>1</v>
      </c>
      <c r="I48" s="11" t="n">
        <v>55</v>
      </c>
      <c r="J48" s="12" t="n">
        <v>0.1</v>
      </c>
      <c r="K48" s="11">
        <f>H48*I48*(1-J48)</f>
        <v/>
      </c>
      <c r="L48" s="11" t="n">
        <v>24</v>
      </c>
      <c r="M48" s="11">
        <f>K48-(H48*L48)</f>
        <v/>
      </c>
      <c r="N48" s="11">
        <f>H48*11</f>
        <v/>
      </c>
    </row>
    <row r="49">
      <c r="A49" t="inlineStr">
        <is>
          <t>LL-00048</t>
        </is>
      </c>
      <c r="B49" s="10" t="n">
        <v>46367</v>
      </c>
      <c r="C49" t="inlineStr">
        <is>
          <t>Dec</t>
        </is>
      </c>
      <c r="D49" t="inlineStr">
        <is>
          <t>South</t>
        </is>
      </c>
      <c r="E49" t="inlineStr">
        <is>
          <t>Marketplace</t>
        </is>
      </c>
      <c r="F49" t="inlineStr">
        <is>
          <t>Luna Throw</t>
        </is>
      </c>
      <c r="G49" t="inlineStr">
        <is>
          <t>Living</t>
        </is>
      </c>
      <c r="H49" t="n">
        <v>7</v>
      </c>
      <c r="I49" s="11" t="n">
        <v>69</v>
      </c>
      <c r="J49" s="12" t="n">
        <v>0</v>
      </c>
      <c r="K49" s="11">
        <f>H49*I49*(1-J49)</f>
        <v/>
      </c>
      <c r="L49" s="11" t="n">
        <v>31</v>
      </c>
      <c r="M49" s="11">
        <f>K49-(H49*L49)</f>
        <v/>
      </c>
      <c r="N49" s="11">
        <f>H49*15</f>
        <v/>
      </c>
    </row>
    <row r="50">
      <c r="A50" t="inlineStr">
        <is>
          <t>LL-00049</t>
        </is>
      </c>
      <c r="B50" s="10" t="n">
        <v>46114</v>
      </c>
      <c r="C50" t="inlineStr">
        <is>
          <t>Apr</t>
        </is>
      </c>
      <c r="D50" t="inlineStr">
        <is>
          <t>South</t>
        </is>
      </c>
      <c r="E50" t="inlineStr">
        <is>
          <t>Marketplace</t>
        </is>
      </c>
      <c r="F50" t="inlineStr">
        <is>
          <t>Arc Side Table</t>
        </is>
      </c>
      <c r="G50" t="inlineStr">
        <is>
          <t>Living</t>
        </is>
      </c>
      <c r="H50" t="n">
        <v>8</v>
      </c>
      <c r="I50" s="11" t="n">
        <v>139</v>
      </c>
      <c r="J50" s="12" t="n">
        <v>0.15</v>
      </c>
      <c r="K50" s="11">
        <f>H50*I50*(1-J50)</f>
        <v/>
      </c>
      <c r="L50" s="11" t="n">
        <v>72</v>
      </c>
      <c r="M50" s="11">
        <f>K50-(H50*L50)</f>
        <v/>
      </c>
      <c r="N50" s="11">
        <f>H50*15</f>
        <v/>
      </c>
    </row>
    <row r="51">
      <c r="A51" t="inlineStr">
        <is>
          <t>LL-00050</t>
        </is>
      </c>
      <c r="B51" s="10" t="n">
        <v>46196</v>
      </c>
      <c r="C51" t="inlineStr">
        <is>
          <t>Jun</t>
        </is>
      </c>
      <c r="D51" t="inlineStr">
        <is>
          <t>South</t>
        </is>
      </c>
      <c r="E51" t="inlineStr">
        <is>
          <t>Retail</t>
        </is>
      </c>
      <c r="F51" t="inlineStr">
        <is>
          <t>Aurora Desk Lamp</t>
        </is>
      </c>
      <c r="G51" t="inlineStr">
        <is>
          <t>Lighting</t>
        </is>
      </c>
      <c r="H51" t="n">
        <v>2</v>
      </c>
      <c r="I51" s="11" t="n">
        <v>89</v>
      </c>
      <c r="J51" s="12" t="n">
        <v>0.05</v>
      </c>
      <c r="K51" s="11">
        <f>H51*I51*(1-J51)</f>
        <v/>
      </c>
      <c r="L51" s="11" t="n">
        <v>42</v>
      </c>
      <c r="M51" s="11">
        <f>K51-(H51*L51)</f>
        <v/>
      </c>
      <c r="N51" s="11">
        <f>H51*6</f>
        <v/>
      </c>
    </row>
    <row r="52">
      <c r="A52" t="inlineStr">
        <is>
          <t>LL-00051</t>
        </is>
      </c>
      <c r="B52" s="10" t="n">
        <v>46314</v>
      </c>
      <c r="C52" t="inlineStr">
        <is>
          <t>Oct</t>
        </is>
      </c>
      <c r="D52" t="inlineStr">
        <is>
          <t>North</t>
        </is>
      </c>
      <c r="E52" t="inlineStr">
        <is>
          <t>Retail</t>
        </is>
      </c>
      <c r="F52" t="inlineStr">
        <is>
          <t>Luna Throw</t>
        </is>
      </c>
      <c r="G52" t="inlineStr">
        <is>
          <t>Living</t>
        </is>
      </c>
      <c r="H52" t="n">
        <v>1</v>
      </c>
      <c r="I52" s="11" t="n">
        <v>69</v>
      </c>
      <c r="J52" s="12" t="n">
        <v>0.15</v>
      </c>
      <c r="K52" s="11">
        <f>H52*I52*(1-J52)</f>
        <v/>
      </c>
      <c r="L52" s="11" t="n">
        <v>31</v>
      </c>
      <c r="M52" s="11">
        <f>K52-(H52*L52)</f>
        <v/>
      </c>
      <c r="N52" s="11">
        <f>H52*6</f>
        <v/>
      </c>
    </row>
    <row r="53">
      <c r="A53" t="inlineStr">
        <is>
          <t>LL-00052</t>
        </is>
      </c>
      <c r="B53" s="10" t="n">
        <v>46300</v>
      </c>
      <c r="C53" t="inlineStr">
        <is>
          <t>Oct</t>
        </is>
      </c>
      <c r="D53" t="inlineStr">
        <is>
          <t>East</t>
        </is>
      </c>
      <c r="E53" t="inlineStr">
        <is>
          <t>Marketplace</t>
        </is>
      </c>
      <c r="F53" t="inlineStr">
        <is>
          <t>Aurora Desk Lamp</t>
        </is>
      </c>
      <c r="G53" t="inlineStr">
        <is>
          <t>Lighting</t>
        </is>
      </c>
      <c r="H53" t="n">
        <v>2</v>
      </c>
      <c r="I53" s="11" t="n">
        <v>89</v>
      </c>
      <c r="J53" s="12" t="n">
        <v>0.05</v>
      </c>
      <c r="K53" s="11">
        <f>H53*I53*(1-J53)</f>
        <v/>
      </c>
      <c r="L53" s="11" t="n">
        <v>42</v>
      </c>
      <c r="M53" s="11">
        <f>K53-(H53*L53)</f>
        <v/>
      </c>
      <c r="N53" s="11">
        <f>H53*15</f>
        <v/>
      </c>
    </row>
    <row r="54">
      <c r="A54" t="inlineStr">
        <is>
          <t>LL-00053</t>
        </is>
      </c>
      <c r="B54" s="10" t="n">
        <v>46183</v>
      </c>
      <c r="C54" t="inlineStr">
        <is>
          <t>Jun</t>
        </is>
      </c>
      <c r="D54" t="inlineStr">
        <is>
          <t>North</t>
        </is>
      </c>
      <c r="E54" t="inlineStr">
        <is>
          <t>Online</t>
        </is>
      </c>
      <c r="F54" t="inlineStr">
        <is>
          <t>Focus Monitor Stand</t>
        </is>
      </c>
      <c r="G54" t="inlineStr">
        <is>
          <t>Workspace</t>
        </is>
      </c>
      <c r="H54" t="n">
        <v>7</v>
      </c>
      <c r="I54" s="11" t="n">
        <v>79</v>
      </c>
      <c r="J54" s="12" t="n">
        <v>0.15</v>
      </c>
      <c r="K54" s="11">
        <f>H54*I54*(1-J54)</f>
        <v/>
      </c>
      <c r="L54" s="11" t="n">
        <v>36</v>
      </c>
      <c r="M54" s="11">
        <f>K54-(H54*L54)</f>
        <v/>
      </c>
      <c r="N54" s="11">
        <f>H54*11</f>
        <v/>
      </c>
    </row>
    <row r="55">
      <c r="A55" t="inlineStr">
        <is>
          <t>LL-00054</t>
        </is>
      </c>
      <c r="B55" s="10" t="n">
        <v>46090</v>
      </c>
      <c r="C55" t="inlineStr">
        <is>
          <t>Mar</t>
        </is>
      </c>
      <c r="D55" t="inlineStr">
        <is>
          <t>South</t>
        </is>
      </c>
      <c r="E55" t="inlineStr">
        <is>
          <t>Online</t>
        </is>
      </c>
      <c r="F55" t="inlineStr">
        <is>
          <t>Nest Basket</t>
        </is>
      </c>
      <c r="G55" t="inlineStr">
        <is>
          <t>Living</t>
        </is>
      </c>
      <c r="H55" t="n">
        <v>2</v>
      </c>
      <c r="I55" s="11" t="n">
        <v>55</v>
      </c>
      <c r="J55" s="12" t="n">
        <v>0.1</v>
      </c>
      <c r="K55" s="11">
        <f>H55*I55*(1-J55)</f>
        <v/>
      </c>
      <c r="L55" s="11" t="n">
        <v>24</v>
      </c>
      <c r="M55" s="11">
        <f>K55-(H55*L55)</f>
        <v/>
      </c>
      <c r="N55" s="11">
        <f>H55*11</f>
        <v/>
      </c>
    </row>
    <row r="56">
      <c r="A56" t="inlineStr">
        <is>
          <t>LL-00055</t>
        </is>
      </c>
      <c r="B56" s="10" t="n">
        <v>46114</v>
      </c>
      <c r="C56" t="inlineStr">
        <is>
          <t>Apr</t>
        </is>
      </c>
      <c r="D56" t="inlineStr">
        <is>
          <t>East</t>
        </is>
      </c>
      <c r="E56" t="inlineStr">
        <is>
          <t>Online</t>
        </is>
      </c>
      <c r="F56" t="inlineStr">
        <is>
          <t>Nest Basket</t>
        </is>
      </c>
      <c r="G56" t="inlineStr">
        <is>
          <t>Living</t>
        </is>
      </c>
      <c r="H56" t="n">
        <v>5</v>
      </c>
      <c r="I56" s="11" t="n">
        <v>55</v>
      </c>
      <c r="J56" s="12" t="n">
        <v>0.1</v>
      </c>
      <c r="K56" s="11">
        <f>H56*I56*(1-J56)</f>
        <v/>
      </c>
      <c r="L56" s="11" t="n">
        <v>24</v>
      </c>
      <c r="M56" s="11">
        <f>K56-(H56*L56)</f>
        <v/>
      </c>
      <c r="N56" s="11">
        <f>H56*11</f>
        <v/>
      </c>
    </row>
    <row r="57">
      <c r="A57" t="inlineStr">
        <is>
          <t>LL-00056</t>
        </is>
      </c>
      <c r="B57" s="10" t="n">
        <v>46216</v>
      </c>
      <c r="C57" t="inlineStr">
        <is>
          <t>Jul</t>
        </is>
      </c>
      <c r="D57" t="inlineStr">
        <is>
          <t>South</t>
        </is>
      </c>
      <c r="E57" t="inlineStr">
        <is>
          <t>Retail</t>
        </is>
      </c>
      <c r="F57" t="inlineStr">
        <is>
          <t>Arc Side Table</t>
        </is>
      </c>
      <c r="G57" t="inlineStr">
        <is>
          <t>Living</t>
        </is>
      </c>
      <c r="H57" t="n">
        <v>1</v>
      </c>
      <c r="I57" s="11" t="n">
        <v>139</v>
      </c>
      <c r="J57" s="12" t="n">
        <v>0.15</v>
      </c>
      <c r="K57" s="11">
        <f>H57*I57*(1-J57)</f>
        <v/>
      </c>
      <c r="L57" s="11" t="n">
        <v>72</v>
      </c>
      <c r="M57" s="11">
        <f>K57-(H57*L57)</f>
        <v/>
      </c>
      <c r="N57" s="11">
        <f>H57*6</f>
        <v/>
      </c>
    </row>
    <row r="58">
      <c r="A58" t="inlineStr">
        <is>
          <t>LL-00057</t>
        </is>
      </c>
      <c r="B58" s="10" t="n">
        <v>46046</v>
      </c>
      <c r="C58" t="inlineStr">
        <is>
          <t>Jan</t>
        </is>
      </c>
      <c r="D58" t="inlineStr">
        <is>
          <t>North</t>
        </is>
      </c>
      <c r="E58" t="inlineStr">
        <is>
          <t>Marketplace</t>
        </is>
      </c>
      <c r="F58" t="inlineStr">
        <is>
          <t>Aurora Desk Lamp</t>
        </is>
      </c>
      <c r="G58" t="inlineStr">
        <is>
          <t>Lighting</t>
        </is>
      </c>
      <c r="H58" t="n">
        <v>6</v>
      </c>
      <c r="I58" s="11" t="n">
        <v>89</v>
      </c>
      <c r="J58" s="12" t="n">
        <v>0</v>
      </c>
      <c r="K58" s="11">
        <f>H58*I58*(1-J58)</f>
        <v/>
      </c>
      <c r="L58" s="11" t="n">
        <v>42</v>
      </c>
      <c r="M58" s="11">
        <f>K58-(H58*L58)</f>
        <v/>
      </c>
      <c r="N58" s="11">
        <f>H58*15</f>
        <v/>
      </c>
    </row>
    <row r="59">
      <c r="A59" t="inlineStr">
        <is>
          <t>LL-00058</t>
        </is>
      </c>
      <c r="B59" s="10" t="n">
        <v>46184</v>
      </c>
      <c r="C59" t="inlineStr">
        <is>
          <t>Jun</t>
        </is>
      </c>
      <c r="D59" t="inlineStr">
        <is>
          <t>North</t>
        </is>
      </c>
      <c r="E59" t="inlineStr">
        <is>
          <t>Marketplace</t>
        </is>
      </c>
      <c r="F59" t="inlineStr">
        <is>
          <t>Halo Floor Lamp</t>
        </is>
      </c>
      <c r="G59" t="inlineStr">
        <is>
          <t>Lighting</t>
        </is>
      </c>
      <c r="H59" t="n">
        <v>8</v>
      </c>
      <c r="I59" s="11" t="n">
        <v>159</v>
      </c>
      <c r="J59" s="12" t="n">
        <v>0.15</v>
      </c>
      <c r="K59" s="11">
        <f>H59*I59*(1-J59)</f>
        <v/>
      </c>
      <c r="L59" s="11" t="n">
        <v>79</v>
      </c>
      <c r="M59" s="11">
        <f>K59-(H59*L59)</f>
        <v/>
      </c>
      <c r="N59" s="11">
        <f>H59*15</f>
        <v/>
      </c>
    </row>
    <row r="60">
      <c r="A60" t="inlineStr">
        <is>
          <t>LL-00059</t>
        </is>
      </c>
      <c r="B60" s="10" t="n">
        <v>46236</v>
      </c>
      <c r="C60" t="inlineStr">
        <is>
          <t>Aug</t>
        </is>
      </c>
      <c r="D60" t="inlineStr">
        <is>
          <t>North</t>
        </is>
      </c>
      <c r="E60" t="inlineStr">
        <is>
          <t>Marketplace</t>
        </is>
      </c>
      <c r="F60" t="inlineStr">
        <is>
          <t>Halo Floor Lamp</t>
        </is>
      </c>
      <c r="G60" t="inlineStr">
        <is>
          <t>Lighting</t>
        </is>
      </c>
      <c r="H60" t="n">
        <v>1</v>
      </c>
      <c r="I60" s="11" t="n">
        <v>159</v>
      </c>
      <c r="J60" s="12" t="n">
        <v>0.05</v>
      </c>
      <c r="K60" s="11">
        <f>H60*I60*(1-J60)</f>
        <v/>
      </c>
      <c r="L60" s="11" t="n">
        <v>79</v>
      </c>
      <c r="M60" s="11">
        <f>K60-(H60*L60)</f>
        <v/>
      </c>
      <c r="N60" s="11">
        <f>H60*15</f>
        <v/>
      </c>
    </row>
    <row r="61">
      <c r="A61" t="inlineStr">
        <is>
          <t>LL-00060</t>
        </is>
      </c>
      <c r="B61" s="10" t="n">
        <v>46110</v>
      </c>
      <c r="C61" t="inlineStr">
        <is>
          <t>Mar</t>
        </is>
      </c>
      <c r="D61" t="inlineStr">
        <is>
          <t>East</t>
        </is>
      </c>
      <c r="E61" t="inlineStr">
        <is>
          <t>Retail</t>
        </is>
      </c>
      <c r="F61" t="inlineStr">
        <is>
          <t>Aurora Desk Lamp</t>
        </is>
      </c>
      <c r="G61" t="inlineStr">
        <is>
          <t>Lighting</t>
        </is>
      </c>
      <c r="H61" t="n">
        <v>4</v>
      </c>
      <c r="I61" s="11" t="n">
        <v>89</v>
      </c>
      <c r="J61" s="12" t="n">
        <v>0</v>
      </c>
      <c r="K61" s="11">
        <f>H61*I61*(1-J61)</f>
        <v/>
      </c>
      <c r="L61" s="11" t="n">
        <v>42</v>
      </c>
      <c r="M61" s="11">
        <f>K61-(H61*L61)</f>
        <v/>
      </c>
      <c r="N61" s="11">
        <f>H61*6</f>
        <v/>
      </c>
    </row>
    <row r="62">
      <c r="A62" t="inlineStr">
        <is>
          <t>LL-00061</t>
        </is>
      </c>
      <c r="B62" s="10" t="n">
        <v>46056</v>
      </c>
      <c r="C62" t="inlineStr">
        <is>
          <t>Feb</t>
        </is>
      </c>
      <c r="D62" t="inlineStr">
        <is>
          <t>East</t>
        </is>
      </c>
      <c r="E62" t="inlineStr">
        <is>
          <t>Online</t>
        </is>
      </c>
      <c r="F62" t="inlineStr">
        <is>
          <t>Luna Throw</t>
        </is>
      </c>
      <c r="G62" t="inlineStr">
        <is>
          <t>Living</t>
        </is>
      </c>
      <c r="H62" t="n">
        <v>3</v>
      </c>
      <c r="I62" s="11" t="n">
        <v>69</v>
      </c>
      <c r="J62" s="12" t="n">
        <v>0.05</v>
      </c>
      <c r="K62" s="11">
        <f>H62*I62*(1-J62)</f>
        <v/>
      </c>
      <c r="L62" s="11" t="n">
        <v>31</v>
      </c>
      <c r="M62" s="11">
        <f>K62-(H62*L62)</f>
        <v/>
      </c>
      <c r="N62" s="11">
        <f>H62*11</f>
        <v/>
      </c>
    </row>
    <row r="63">
      <c r="A63" t="inlineStr">
        <is>
          <t>LL-00062</t>
        </is>
      </c>
      <c r="B63" s="10" t="n">
        <v>46269</v>
      </c>
      <c r="C63" t="inlineStr">
        <is>
          <t>Sep</t>
        </is>
      </c>
      <c r="D63" t="inlineStr">
        <is>
          <t>North</t>
        </is>
      </c>
      <c r="E63" t="inlineStr">
        <is>
          <t>Retail</t>
        </is>
      </c>
      <c r="F63" t="inlineStr">
        <is>
          <t>Arc Side Table</t>
        </is>
      </c>
      <c r="G63" t="inlineStr">
        <is>
          <t>Living</t>
        </is>
      </c>
      <c r="H63" t="n">
        <v>2</v>
      </c>
      <c r="I63" s="11" t="n">
        <v>139</v>
      </c>
      <c r="J63" s="12" t="n">
        <v>0.1</v>
      </c>
      <c r="K63" s="11">
        <f>H63*I63*(1-J63)</f>
        <v/>
      </c>
      <c r="L63" s="11" t="n">
        <v>72</v>
      </c>
      <c r="M63" s="11">
        <f>K63-(H63*L63)</f>
        <v/>
      </c>
      <c r="N63" s="11">
        <f>H63*6</f>
        <v/>
      </c>
    </row>
    <row r="64">
      <c r="A64" t="inlineStr">
        <is>
          <t>LL-00063</t>
        </is>
      </c>
      <c r="B64" s="10" t="n">
        <v>46087</v>
      </c>
      <c r="C64" t="inlineStr">
        <is>
          <t>Mar</t>
        </is>
      </c>
      <c r="D64" t="inlineStr">
        <is>
          <t>North</t>
        </is>
      </c>
      <c r="E64" t="inlineStr">
        <is>
          <t>Retail</t>
        </is>
      </c>
      <c r="F64" t="inlineStr">
        <is>
          <t>Nest Basket</t>
        </is>
      </c>
      <c r="G64" t="inlineStr">
        <is>
          <t>Living</t>
        </is>
      </c>
      <c r="H64" t="n">
        <v>3</v>
      </c>
      <c r="I64" s="11" t="n">
        <v>55</v>
      </c>
      <c r="J64" s="12" t="n">
        <v>0.1</v>
      </c>
      <c r="K64" s="11">
        <f>H64*I64*(1-J64)</f>
        <v/>
      </c>
      <c r="L64" s="11" t="n">
        <v>24</v>
      </c>
      <c r="M64" s="11">
        <f>K64-(H64*L64)</f>
        <v/>
      </c>
      <c r="N64" s="11">
        <f>H64*6</f>
        <v/>
      </c>
    </row>
    <row r="65">
      <c r="A65" t="inlineStr">
        <is>
          <t>LL-00064</t>
        </is>
      </c>
      <c r="B65" s="10" t="n">
        <v>46382</v>
      </c>
      <c r="C65" t="inlineStr">
        <is>
          <t>Dec</t>
        </is>
      </c>
      <c r="D65" t="inlineStr">
        <is>
          <t>South</t>
        </is>
      </c>
      <c r="E65" t="inlineStr">
        <is>
          <t>Marketplace</t>
        </is>
      </c>
      <c r="F65" t="inlineStr">
        <is>
          <t>Nest Basket</t>
        </is>
      </c>
      <c r="G65" t="inlineStr">
        <is>
          <t>Living</t>
        </is>
      </c>
      <c r="H65" t="n">
        <v>4</v>
      </c>
      <c r="I65" s="11" t="n">
        <v>55</v>
      </c>
      <c r="J65" s="12" t="n">
        <v>0.15</v>
      </c>
      <c r="K65" s="11">
        <f>H65*I65*(1-J65)</f>
        <v/>
      </c>
      <c r="L65" s="11" t="n">
        <v>24</v>
      </c>
      <c r="M65" s="11">
        <f>K65-(H65*L65)</f>
        <v/>
      </c>
      <c r="N65" s="11">
        <f>H65*15</f>
        <v/>
      </c>
    </row>
    <row r="66">
      <c r="A66" t="inlineStr">
        <is>
          <t>LL-00065</t>
        </is>
      </c>
      <c r="B66" s="10" t="n">
        <v>46079</v>
      </c>
      <c r="C66" t="inlineStr">
        <is>
          <t>Feb</t>
        </is>
      </c>
      <c r="D66" t="inlineStr">
        <is>
          <t>West</t>
        </is>
      </c>
      <c r="E66" t="inlineStr">
        <is>
          <t>Retail</t>
        </is>
      </c>
      <c r="F66" t="inlineStr">
        <is>
          <t>Luna Throw</t>
        </is>
      </c>
      <c r="G66" t="inlineStr">
        <is>
          <t>Living</t>
        </is>
      </c>
      <c r="H66" t="n">
        <v>2</v>
      </c>
      <c r="I66" s="11" t="n">
        <v>69</v>
      </c>
      <c r="J66" s="12" t="n">
        <v>0.15</v>
      </c>
      <c r="K66" s="11">
        <f>H66*I66*(1-J66)</f>
        <v/>
      </c>
      <c r="L66" s="11" t="n">
        <v>31</v>
      </c>
      <c r="M66" s="11">
        <f>K66-(H66*L66)</f>
        <v/>
      </c>
      <c r="N66" s="11">
        <f>H66*6</f>
        <v/>
      </c>
    </row>
    <row r="67">
      <c r="A67" t="inlineStr">
        <is>
          <t>LL-00066</t>
        </is>
      </c>
      <c r="B67" s="10" t="n">
        <v>46361</v>
      </c>
      <c r="C67" t="inlineStr">
        <is>
          <t>Dec</t>
        </is>
      </c>
      <c r="D67" t="inlineStr">
        <is>
          <t>North</t>
        </is>
      </c>
      <c r="E67" t="inlineStr">
        <is>
          <t>Online</t>
        </is>
      </c>
      <c r="F67" t="inlineStr">
        <is>
          <t>Halo Floor Lamp</t>
        </is>
      </c>
      <c r="G67" t="inlineStr">
        <is>
          <t>Lighting</t>
        </is>
      </c>
      <c r="H67" t="n">
        <v>2</v>
      </c>
      <c r="I67" s="11" t="n">
        <v>159</v>
      </c>
      <c r="J67" s="12" t="n">
        <v>0.2</v>
      </c>
      <c r="K67" s="11">
        <f>H67*I67*(1-J67)</f>
        <v/>
      </c>
      <c r="L67" s="11" t="n">
        <v>79</v>
      </c>
      <c r="M67" s="11">
        <f>K67-(H67*L67)</f>
        <v/>
      </c>
      <c r="N67" s="11">
        <f>H67*11</f>
        <v/>
      </c>
    </row>
    <row r="68">
      <c r="A68" t="inlineStr">
        <is>
          <t>LL-00067</t>
        </is>
      </c>
      <c r="B68" s="10" t="n">
        <v>46085</v>
      </c>
      <c r="C68" t="inlineStr">
        <is>
          <t>Mar</t>
        </is>
      </c>
      <c r="D68" t="inlineStr">
        <is>
          <t>South</t>
        </is>
      </c>
      <c r="E68" t="inlineStr">
        <is>
          <t>Retail</t>
        </is>
      </c>
      <c r="F68" t="inlineStr">
        <is>
          <t>Luna Throw</t>
        </is>
      </c>
      <c r="G68" t="inlineStr">
        <is>
          <t>Living</t>
        </is>
      </c>
      <c r="H68" t="n">
        <v>5</v>
      </c>
      <c r="I68" s="11" t="n">
        <v>69</v>
      </c>
      <c r="J68" s="12" t="n">
        <v>0</v>
      </c>
      <c r="K68" s="11">
        <f>H68*I68*(1-J68)</f>
        <v/>
      </c>
      <c r="L68" s="11" t="n">
        <v>31</v>
      </c>
      <c r="M68" s="11">
        <f>K68-(H68*L68)</f>
        <v/>
      </c>
      <c r="N68" s="11">
        <f>H68*6</f>
        <v/>
      </c>
    </row>
    <row r="69">
      <c r="A69" t="inlineStr">
        <is>
          <t>LL-00068</t>
        </is>
      </c>
      <c r="B69" s="10" t="n">
        <v>46211</v>
      </c>
      <c r="C69" t="inlineStr">
        <is>
          <t>Jul</t>
        </is>
      </c>
      <c r="D69" t="inlineStr">
        <is>
          <t>South</t>
        </is>
      </c>
      <c r="E69" t="inlineStr">
        <is>
          <t>Retail</t>
        </is>
      </c>
      <c r="F69" t="inlineStr">
        <is>
          <t>Nest Basket</t>
        </is>
      </c>
      <c r="G69" t="inlineStr">
        <is>
          <t>Living</t>
        </is>
      </c>
      <c r="H69" t="n">
        <v>1</v>
      </c>
      <c r="I69" s="11" t="n">
        <v>55</v>
      </c>
      <c r="J69" s="12" t="n">
        <v>0.15</v>
      </c>
      <c r="K69" s="11">
        <f>H69*I69*(1-J69)</f>
        <v/>
      </c>
      <c r="L69" s="11" t="n">
        <v>24</v>
      </c>
      <c r="M69" s="11">
        <f>K69-(H69*L69)</f>
        <v/>
      </c>
      <c r="N69" s="11">
        <f>H69*6</f>
        <v/>
      </c>
    </row>
    <row r="70">
      <c r="A70" t="inlineStr">
        <is>
          <t>LL-00069</t>
        </is>
      </c>
      <c r="B70" s="10" t="n">
        <v>46370</v>
      </c>
      <c r="C70" t="inlineStr">
        <is>
          <t>Dec</t>
        </is>
      </c>
      <c r="D70" t="inlineStr">
        <is>
          <t>West</t>
        </is>
      </c>
      <c r="E70" t="inlineStr">
        <is>
          <t>Retail</t>
        </is>
      </c>
      <c r="F70" t="inlineStr">
        <is>
          <t>Luna Throw</t>
        </is>
      </c>
      <c r="G70" t="inlineStr">
        <is>
          <t>Living</t>
        </is>
      </c>
      <c r="H70" t="n">
        <v>1</v>
      </c>
      <c r="I70" s="11" t="n">
        <v>69</v>
      </c>
      <c r="J70" s="12" t="n">
        <v>0.1</v>
      </c>
      <c r="K70" s="11">
        <f>H70*I70*(1-J70)</f>
        <v/>
      </c>
      <c r="L70" s="11" t="n">
        <v>31</v>
      </c>
      <c r="M70" s="11">
        <f>K70-(H70*L70)</f>
        <v/>
      </c>
      <c r="N70" s="11">
        <f>H70*6</f>
        <v/>
      </c>
    </row>
    <row r="71">
      <c r="A71" t="inlineStr">
        <is>
          <t>LL-00070</t>
        </is>
      </c>
      <c r="B71" s="10" t="n">
        <v>46158</v>
      </c>
      <c r="C71" t="inlineStr">
        <is>
          <t>May</t>
        </is>
      </c>
      <c r="D71" t="inlineStr">
        <is>
          <t>North</t>
        </is>
      </c>
      <c r="E71" t="inlineStr">
        <is>
          <t>Online</t>
        </is>
      </c>
      <c r="F71" t="inlineStr">
        <is>
          <t>Luna Throw</t>
        </is>
      </c>
      <c r="G71" t="inlineStr">
        <is>
          <t>Living</t>
        </is>
      </c>
      <c r="H71" t="n">
        <v>2</v>
      </c>
      <c r="I71" s="11" t="n">
        <v>69</v>
      </c>
      <c r="J71" s="12" t="n">
        <v>0.05</v>
      </c>
      <c r="K71" s="11">
        <f>H71*I71*(1-J71)</f>
        <v/>
      </c>
      <c r="L71" s="11" t="n">
        <v>31</v>
      </c>
      <c r="M71" s="11">
        <f>K71-(H71*L71)</f>
        <v/>
      </c>
      <c r="N71" s="11">
        <f>H71*11</f>
        <v/>
      </c>
    </row>
    <row r="72">
      <c r="A72" t="inlineStr">
        <is>
          <t>LL-00071</t>
        </is>
      </c>
      <c r="B72" s="10" t="n">
        <v>46042</v>
      </c>
      <c r="C72" t="inlineStr">
        <is>
          <t>Jan</t>
        </is>
      </c>
      <c r="D72" t="inlineStr">
        <is>
          <t>North</t>
        </is>
      </c>
      <c r="E72" t="inlineStr">
        <is>
          <t>Retail</t>
        </is>
      </c>
      <c r="F72" t="inlineStr">
        <is>
          <t>Arc Side Table</t>
        </is>
      </c>
      <c r="G72" t="inlineStr">
        <is>
          <t>Living</t>
        </is>
      </c>
      <c r="H72" t="n">
        <v>1</v>
      </c>
      <c r="I72" s="11" t="n">
        <v>139</v>
      </c>
      <c r="J72" s="12" t="n">
        <v>0.1</v>
      </c>
      <c r="K72" s="11">
        <f>H72*I72*(1-J72)</f>
        <v/>
      </c>
      <c r="L72" s="11" t="n">
        <v>72</v>
      </c>
      <c r="M72" s="11">
        <f>K72-(H72*L72)</f>
        <v/>
      </c>
      <c r="N72" s="11">
        <f>H72*6</f>
        <v/>
      </c>
    </row>
    <row r="73">
      <c r="A73" t="inlineStr">
        <is>
          <t>LL-00072</t>
        </is>
      </c>
      <c r="B73" s="10" t="n">
        <v>46205</v>
      </c>
      <c r="C73" t="inlineStr">
        <is>
          <t>Jul</t>
        </is>
      </c>
      <c r="D73" t="inlineStr">
        <is>
          <t>East</t>
        </is>
      </c>
      <c r="E73" t="inlineStr">
        <is>
          <t>Online</t>
        </is>
      </c>
      <c r="F73" t="inlineStr">
        <is>
          <t>Focus Monitor Stand</t>
        </is>
      </c>
      <c r="G73" t="inlineStr">
        <is>
          <t>Workspace</t>
        </is>
      </c>
      <c r="H73" t="n">
        <v>4</v>
      </c>
      <c r="I73" s="11" t="n">
        <v>79</v>
      </c>
      <c r="J73" s="12" t="n">
        <v>0</v>
      </c>
      <c r="K73" s="11">
        <f>H73*I73*(1-J73)</f>
        <v/>
      </c>
      <c r="L73" s="11" t="n">
        <v>36</v>
      </c>
      <c r="M73" s="11">
        <f>K73-(H73*L73)</f>
        <v/>
      </c>
      <c r="N73" s="11">
        <f>H73*11</f>
        <v/>
      </c>
    </row>
    <row r="74">
      <c r="A74" t="inlineStr">
        <is>
          <t>LL-00073</t>
        </is>
      </c>
      <c r="B74" s="10" t="n">
        <v>46176</v>
      </c>
      <c r="C74" t="inlineStr">
        <is>
          <t>Jun</t>
        </is>
      </c>
      <c r="D74" t="inlineStr">
        <is>
          <t>North</t>
        </is>
      </c>
      <c r="E74" t="inlineStr">
        <is>
          <t>Marketplace</t>
        </is>
      </c>
      <c r="F74" t="inlineStr">
        <is>
          <t>Halo Floor Lamp</t>
        </is>
      </c>
      <c r="G74" t="inlineStr">
        <is>
          <t>Lighting</t>
        </is>
      </c>
      <c r="H74" t="n">
        <v>1</v>
      </c>
      <c r="I74" s="11" t="n">
        <v>159</v>
      </c>
      <c r="J74" s="12" t="n">
        <v>0.05</v>
      </c>
      <c r="K74" s="11">
        <f>H74*I74*(1-J74)</f>
        <v/>
      </c>
      <c r="L74" s="11" t="n">
        <v>79</v>
      </c>
      <c r="M74" s="11">
        <f>K74-(H74*L74)</f>
        <v/>
      </c>
      <c r="N74" s="11">
        <f>H74*15</f>
        <v/>
      </c>
    </row>
    <row r="75">
      <c r="A75" t="inlineStr">
        <is>
          <t>LL-00074</t>
        </is>
      </c>
      <c r="B75" s="10" t="n">
        <v>46292</v>
      </c>
      <c r="C75" t="inlineStr">
        <is>
          <t>Sep</t>
        </is>
      </c>
      <c r="D75" t="inlineStr">
        <is>
          <t>North</t>
        </is>
      </c>
      <c r="E75" t="inlineStr">
        <is>
          <t>Retail</t>
        </is>
      </c>
      <c r="F75" t="inlineStr">
        <is>
          <t>Nest Basket</t>
        </is>
      </c>
      <c r="G75" t="inlineStr">
        <is>
          <t>Living</t>
        </is>
      </c>
      <c r="H75" t="n">
        <v>8</v>
      </c>
      <c r="I75" s="11" t="n">
        <v>55</v>
      </c>
      <c r="J75" s="12" t="n">
        <v>0.1</v>
      </c>
      <c r="K75" s="11">
        <f>H75*I75*(1-J75)</f>
        <v/>
      </c>
      <c r="L75" s="11" t="n">
        <v>24</v>
      </c>
      <c r="M75" s="11">
        <f>K75-(H75*L75)</f>
        <v/>
      </c>
      <c r="N75" s="11">
        <f>H75*6</f>
        <v/>
      </c>
    </row>
    <row r="76">
      <c r="A76" t="inlineStr">
        <is>
          <t>LL-00075</t>
        </is>
      </c>
      <c r="B76" s="10" t="n">
        <v>46286</v>
      </c>
      <c r="C76" t="inlineStr">
        <is>
          <t>Sep</t>
        </is>
      </c>
      <c r="D76" t="inlineStr">
        <is>
          <t>West</t>
        </is>
      </c>
      <c r="E76" t="inlineStr">
        <is>
          <t>Retail</t>
        </is>
      </c>
      <c r="F76" t="inlineStr">
        <is>
          <t>Arc Side Table</t>
        </is>
      </c>
      <c r="G76" t="inlineStr">
        <is>
          <t>Living</t>
        </is>
      </c>
      <c r="H76" t="n">
        <v>2</v>
      </c>
      <c r="I76" s="11" t="n">
        <v>139</v>
      </c>
      <c r="J76" s="12" t="n">
        <v>0.1</v>
      </c>
      <c r="K76" s="11">
        <f>H76*I76*(1-J76)</f>
        <v/>
      </c>
      <c r="L76" s="11" t="n">
        <v>72</v>
      </c>
      <c r="M76" s="11">
        <f>K76-(H76*L76)</f>
        <v/>
      </c>
      <c r="N76" s="11">
        <f>H76*6</f>
        <v/>
      </c>
    </row>
    <row r="77">
      <c r="A77" t="inlineStr">
        <is>
          <t>LL-00076</t>
        </is>
      </c>
      <c r="B77" s="10" t="n">
        <v>46321</v>
      </c>
      <c r="C77" t="inlineStr">
        <is>
          <t>Oct</t>
        </is>
      </c>
      <c r="D77" t="inlineStr">
        <is>
          <t>North</t>
        </is>
      </c>
      <c r="E77" t="inlineStr">
        <is>
          <t>Online</t>
        </is>
      </c>
      <c r="F77" t="inlineStr">
        <is>
          <t>Focus Monitor Stand</t>
        </is>
      </c>
      <c r="G77" t="inlineStr">
        <is>
          <t>Workspace</t>
        </is>
      </c>
      <c r="H77" t="n">
        <v>8</v>
      </c>
      <c r="I77" s="11" t="n">
        <v>79</v>
      </c>
      <c r="J77" s="12" t="n">
        <v>0.1</v>
      </c>
      <c r="K77" s="11">
        <f>H77*I77*(1-J77)</f>
        <v/>
      </c>
      <c r="L77" s="11" t="n">
        <v>36</v>
      </c>
      <c r="M77" s="11">
        <f>K77-(H77*L77)</f>
        <v/>
      </c>
      <c r="N77" s="11">
        <f>H77*11</f>
        <v/>
      </c>
    </row>
    <row r="78">
      <c r="A78" t="inlineStr">
        <is>
          <t>LL-00077</t>
        </is>
      </c>
      <c r="B78" s="10" t="n">
        <v>46199</v>
      </c>
      <c r="C78" t="inlineStr">
        <is>
          <t>Jun</t>
        </is>
      </c>
      <c r="D78" t="inlineStr">
        <is>
          <t>South</t>
        </is>
      </c>
      <c r="E78" t="inlineStr">
        <is>
          <t>Retail</t>
        </is>
      </c>
      <c r="F78" t="inlineStr">
        <is>
          <t>Focus Monitor Stand</t>
        </is>
      </c>
      <c r="G78" t="inlineStr">
        <is>
          <t>Workspace</t>
        </is>
      </c>
      <c r="H78" t="n">
        <v>6</v>
      </c>
      <c r="I78" s="11" t="n">
        <v>79</v>
      </c>
      <c r="J78" s="12" t="n">
        <v>0.1</v>
      </c>
      <c r="K78" s="11">
        <f>H78*I78*(1-J78)</f>
        <v/>
      </c>
      <c r="L78" s="11" t="n">
        <v>36</v>
      </c>
      <c r="M78" s="11">
        <f>K78-(H78*L78)</f>
        <v/>
      </c>
      <c r="N78" s="11">
        <f>H78*6</f>
        <v/>
      </c>
    </row>
    <row r="79">
      <c r="A79" t="inlineStr">
        <is>
          <t>LL-00078</t>
        </is>
      </c>
      <c r="B79" s="10" t="n">
        <v>46242</v>
      </c>
      <c r="C79" t="inlineStr">
        <is>
          <t>Aug</t>
        </is>
      </c>
      <c r="D79" t="inlineStr">
        <is>
          <t>North</t>
        </is>
      </c>
      <c r="E79" t="inlineStr">
        <is>
          <t>Marketplace</t>
        </is>
      </c>
      <c r="F79" t="inlineStr">
        <is>
          <t>Arc Side Table</t>
        </is>
      </c>
      <c r="G79" t="inlineStr">
        <is>
          <t>Living</t>
        </is>
      </c>
      <c r="H79" t="n">
        <v>6</v>
      </c>
      <c r="I79" s="11" t="n">
        <v>139</v>
      </c>
      <c r="J79" s="12" t="n">
        <v>0.05</v>
      </c>
      <c r="K79" s="11">
        <f>H79*I79*(1-J79)</f>
        <v/>
      </c>
      <c r="L79" s="11" t="n">
        <v>72</v>
      </c>
      <c r="M79" s="11">
        <f>K79-(H79*L79)</f>
        <v/>
      </c>
      <c r="N79" s="11">
        <f>H79*15</f>
        <v/>
      </c>
    </row>
    <row r="80">
      <c r="A80" t="inlineStr">
        <is>
          <t>LL-00079</t>
        </is>
      </c>
      <c r="B80" s="10" t="n">
        <v>46260</v>
      </c>
      <c r="C80" t="inlineStr">
        <is>
          <t>Aug</t>
        </is>
      </c>
      <c r="D80" t="inlineStr">
        <is>
          <t>South</t>
        </is>
      </c>
      <c r="E80" t="inlineStr">
        <is>
          <t>Marketplace</t>
        </is>
      </c>
      <c r="F80" t="inlineStr">
        <is>
          <t>Nest Basket</t>
        </is>
      </c>
      <c r="G80" t="inlineStr">
        <is>
          <t>Living</t>
        </is>
      </c>
      <c r="H80" t="n">
        <v>4</v>
      </c>
      <c r="I80" s="11" t="n">
        <v>55</v>
      </c>
      <c r="J80" s="12" t="n">
        <v>0.2</v>
      </c>
      <c r="K80" s="11">
        <f>H80*I80*(1-J80)</f>
        <v/>
      </c>
      <c r="L80" s="11" t="n">
        <v>24</v>
      </c>
      <c r="M80" s="11">
        <f>K80-(H80*L80)</f>
        <v/>
      </c>
      <c r="N80" s="11">
        <f>H80*15</f>
        <v/>
      </c>
    </row>
    <row r="81">
      <c r="A81" t="inlineStr">
        <is>
          <t>LL-00080</t>
        </is>
      </c>
      <c r="B81" s="10" t="n">
        <v>46278</v>
      </c>
      <c r="C81" t="inlineStr">
        <is>
          <t>Sep</t>
        </is>
      </c>
      <c r="D81" t="inlineStr">
        <is>
          <t>North</t>
        </is>
      </c>
      <c r="E81" t="inlineStr">
        <is>
          <t>Online</t>
        </is>
      </c>
      <c r="F81" t="inlineStr">
        <is>
          <t>Nest Basket</t>
        </is>
      </c>
      <c r="G81" t="inlineStr">
        <is>
          <t>Living</t>
        </is>
      </c>
      <c r="H81" t="n">
        <v>2</v>
      </c>
      <c r="I81" s="11" t="n">
        <v>55</v>
      </c>
      <c r="J81" s="12" t="n">
        <v>0.1</v>
      </c>
      <c r="K81" s="11">
        <f>H81*I81*(1-J81)</f>
        <v/>
      </c>
      <c r="L81" s="11" t="n">
        <v>24</v>
      </c>
      <c r="M81" s="11">
        <f>K81-(H81*L81)</f>
        <v/>
      </c>
      <c r="N81" s="11">
        <f>H81*11</f>
        <v/>
      </c>
    </row>
    <row r="82">
      <c r="A82" t="inlineStr">
        <is>
          <t>LL-00081</t>
        </is>
      </c>
      <c r="B82" s="10" t="n">
        <v>46139</v>
      </c>
      <c r="C82" t="inlineStr">
        <is>
          <t>Apr</t>
        </is>
      </c>
      <c r="D82" t="inlineStr">
        <is>
          <t>West</t>
        </is>
      </c>
      <c r="E82" t="inlineStr">
        <is>
          <t>Retail</t>
        </is>
      </c>
      <c r="F82" t="inlineStr">
        <is>
          <t>Arc Side Table</t>
        </is>
      </c>
      <c r="G82" t="inlineStr">
        <is>
          <t>Living</t>
        </is>
      </c>
      <c r="H82" t="n">
        <v>4</v>
      </c>
      <c r="I82" s="11" t="n">
        <v>139</v>
      </c>
      <c r="J82" s="12" t="n">
        <v>0.15</v>
      </c>
      <c r="K82" s="11">
        <f>H82*I82*(1-J82)</f>
        <v/>
      </c>
      <c r="L82" s="11" t="n">
        <v>72</v>
      </c>
      <c r="M82" s="11">
        <f>K82-(H82*L82)</f>
        <v/>
      </c>
      <c r="N82" s="11">
        <f>H82*6</f>
        <v/>
      </c>
    </row>
    <row r="83">
      <c r="A83" t="inlineStr">
        <is>
          <t>LL-00082</t>
        </is>
      </c>
      <c r="B83" s="10" t="n">
        <v>46044</v>
      </c>
      <c r="C83" t="inlineStr">
        <is>
          <t>Jan</t>
        </is>
      </c>
      <c r="D83" t="inlineStr">
        <is>
          <t>East</t>
        </is>
      </c>
      <c r="E83" t="inlineStr">
        <is>
          <t>Retail</t>
        </is>
      </c>
      <c r="F83" t="inlineStr">
        <is>
          <t>Luna Throw</t>
        </is>
      </c>
      <c r="G83" t="inlineStr">
        <is>
          <t>Living</t>
        </is>
      </c>
      <c r="H83" t="n">
        <v>3</v>
      </c>
      <c r="I83" s="11" t="n">
        <v>69</v>
      </c>
      <c r="J83" s="12" t="n">
        <v>0.15</v>
      </c>
      <c r="K83" s="11">
        <f>H83*I83*(1-J83)</f>
        <v/>
      </c>
      <c r="L83" s="11" t="n">
        <v>31</v>
      </c>
      <c r="M83" s="11">
        <f>K83-(H83*L83)</f>
        <v/>
      </c>
      <c r="N83" s="11">
        <f>H83*6</f>
        <v/>
      </c>
    </row>
    <row r="84">
      <c r="A84" t="inlineStr">
        <is>
          <t>LL-00083</t>
        </is>
      </c>
      <c r="B84" s="10" t="n">
        <v>46383</v>
      </c>
      <c r="C84" t="inlineStr">
        <is>
          <t>Dec</t>
        </is>
      </c>
      <c r="D84" t="inlineStr">
        <is>
          <t>East</t>
        </is>
      </c>
      <c r="E84" t="inlineStr">
        <is>
          <t>Online</t>
        </is>
      </c>
      <c r="F84" t="inlineStr">
        <is>
          <t>Halo Floor Lamp</t>
        </is>
      </c>
      <c r="G84" t="inlineStr">
        <is>
          <t>Lighting</t>
        </is>
      </c>
      <c r="H84" t="n">
        <v>5</v>
      </c>
      <c r="I84" s="11" t="n">
        <v>159</v>
      </c>
      <c r="J84" s="12" t="n">
        <v>0.05</v>
      </c>
      <c r="K84" s="11">
        <f>H84*I84*(1-J84)</f>
        <v/>
      </c>
      <c r="L84" s="11" t="n">
        <v>79</v>
      </c>
      <c r="M84" s="11">
        <f>K84-(H84*L84)</f>
        <v/>
      </c>
      <c r="N84" s="11">
        <f>H84*11</f>
        <v/>
      </c>
    </row>
    <row r="85">
      <c r="A85" t="inlineStr">
        <is>
          <t>LL-00084</t>
        </is>
      </c>
      <c r="B85" s="10" t="n">
        <v>46180</v>
      </c>
      <c r="C85" t="inlineStr">
        <is>
          <t>Jun</t>
        </is>
      </c>
      <c r="D85" t="inlineStr">
        <is>
          <t>East</t>
        </is>
      </c>
      <c r="E85" t="inlineStr">
        <is>
          <t>Retail</t>
        </is>
      </c>
      <c r="F85" t="inlineStr">
        <is>
          <t>Luna Throw</t>
        </is>
      </c>
      <c r="G85" t="inlineStr">
        <is>
          <t>Living</t>
        </is>
      </c>
      <c r="H85" t="n">
        <v>6</v>
      </c>
      <c r="I85" s="11" t="n">
        <v>69</v>
      </c>
      <c r="J85" s="12" t="n">
        <v>0.1</v>
      </c>
      <c r="K85" s="11">
        <f>H85*I85*(1-J85)</f>
        <v/>
      </c>
      <c r="L85" s="11" t="n">
        <v>31</v>
      </c>
      <c r="M85" s="11">
        <f>K85-(H85*L85)</f>
        <v/>
      </c>
      <c r="N85" s="11">
        <f>H85*6</f>
        <v/>
      </c>
    </row>
    <row r="86">
      <c r="A86" t="inlineStr">
        <is>
          <t>LL-00085</t>
        </is>
      </c>
      <c r="B86" s="10" t="n">
        <v>46232</v>
      </c>
      <c r="C86" t="inlineStr">
        <is>
          <t>Jul</t>
        </is>
      </c>
      <c r="D86" t="inlineStr">
        <is>
          <t>East</t>
        </is>
      </c>
      <c r="E86" t="inlineStr">
        <is>
          <t>Retail</t>
        </is>
      </c>
      <c r="F86" t="inlineStr">
        <is>
          <t>Aurora Desk Lamp</t>
        </is>
      </c>
      <c r="G86" t="inlineStr">
        <is>
          <t>Lighting</t>
        </is>
      </c>
      <c r="H86" t="n">
        <v>5</v>
      </c>
      <c r="I86" s="11" t="n">
        <v>89</v>
      </c>
      <c r="J86" s="12" t="n">
        <v>0.05</v>
      </c>
      <c r="K86" s="11">
        <f>H86*I86*(1-J86)</f>
        <v/>
      </c>
      <c r="L86" s="11" t="n">
        <v>42</v>
      </c>
      <c r="M86" s="11">
        <f>K86-(H86*L86)</f>
        <v/>
      </c>
      <c r="N86" s="11">
        <f>H86*6</f>
        <v/>
      </c>
    </row>
    <row r="87">
      <c r="A87" t="inlineStr">
        <is>
          <t>LL-00086</t>
        </is>
      </c>
      <c r="B87" s="10" t="n">
        <v>46118</v>
      </c>
      <c r="C87" t="inlineStr">
        <is>
          <t>Apr</t>
        </is>
      </c>
      <c r="D87" t="inlineStr">
        <is>
          <t>North</t>
        </is>
      </c>
      <c r="E87" t="inlineStr">
        <is>
          <t>Online</t>
        </is>
      </c>
      <c r="F87" t="inlineStr">
        <is>
          <t>Nest Basket</t>
        </is>
      </c>
      <c r="G87" t="inlineStr">
        <is>
          <t>Living</t>
        </is>
      </c>
      <c r="H87" t="n">
        <v>2</v>
      </c>
      <c r="I87" s="11" t="n">
        <v>55</v>
      </c>
      <c r="J87" s="12" t="n">
        <v>0.15</v>
      </c>
      <c r="K87" s="11">
        <f>H87*I87*(1-J87)</f>
        <v/>
      </c>
      <c r="L87" s="11" t="n">
        <v>24</v>
      </c>
      <c r="M87" s="11">
        <f>K87-(H87*L87)</f>
        <v/>
      </c>
      <c r="N87" s="11">
        <f>H87*11</f>
        <v/>
      </c>
    </row>
    <row r="88">
      <c r="A88" t="inlineStr">
        <is>
          <t>LL-00087</t>
        </is>
      </c>
      <c r="B88" s="10" t="n">
        <v>46219</v>
      </c>
      <c r="C88" t="inlineStr">
        <is>
          <t>Jul</t>
        </is>
      </c>
      <c r="D88" t="inlineStr">
        <is>
          <t>South</t>
        </is>
      </c>
      <c r="E88" t="inlineStr">
        <is>
          <t>Retail</t>
        </is>
      </c>
      <c r="F88" t="inlineStr">
        <is>
          <t>Luna Throw</t>
        </is>
      </c>
      <c r="G88" t="inlineStr">
        <is>
          <t>Living</t>
        </is>
      </c>
      <c r="H88" t="n">
        <v>6</v>
      </c>
      <c r="I88" s="11" t="n">
        <v>69</v>
      </c>
      <c r="J88" s="12" t="n">
        <v>0.05</v>
      </c>
      <c r="K88" s="11">
        <f>H88*I88*(1-J88)</f>
        <v/>
      </c>
      <c r="L88" s="11" t="n">
        <v>31</v>
      </c>
      <c r="M88" s="11">
        <f>K88-(H88*L88)</f>
        <v/>
      </c>
      <c r="N88" s="11">
        <f>H88*6</f>
        <v/>
      </c>
    </row>
    <row r="89">
      <c r="A89" t="inlineStr">
        <is>
          <t>LL-00088</t>
        </is>
      </c>
      <c r="B89" s="10" t="n">
        <v>46105</v>
      </c>
      <c r="C89" t="inlineStr">
        <is>
          <t>Mar</t>
        </is>
      </c>
      <c r="D89" t="inlineStr">
        <is>
          <t>East</t>
        </is>
      </c>
      <c r="E89" t="inlineStr">
        <is>
          <t>Marketplace</t>
        </is>
      </c>
      <c r="F89" t="inlineStr">
        <is>
          <t>Focus Monitor Stand</t>
        </is>
      </c>
      <c r="G89" t="inlineStr">
        <is>
          <t>Workspace</t>
        </is>
      </c>
      <c r="H89" t="n">
        <v>8</v>
      </c>
      <c r="I89" s="11" t="n">
        <v>79</v>
      </c>
      <c r="J89" s="12" t="n">
        <v>0.15</v>
      </c>
      <c r="K89" s="11">
        <f>H89*I89*(1-J89)</f>
        <v/>
      </c>
      <c r="L89" s="11" t="n">
        <v>36</v>
      </c>
      <c r="M89" s="11">
        <f>K89-(H89*L89)</f>
        <v/>
      </c>
      <c r="N89" s="11">
        <f>H89*15</f>
        <v/>
      </c>
    </row>
    <row r="90">
      <c r="A90" t="inlineStr">
        <is>
          <t>LL-00089</t>
        </is>
      </c>
      <c r="B90" s="10" t="n">
        <v>46259</v>
      </c>
      <c r="C90" t="inlineStr">
        <is>
          <t>Aug</t>
        </is>
      </c>
      <c r="D90" t="inlineStr">
        <is>
          <t>East</t>
        </is>
      </c>
      <c r="E90" t="inlineStr">
        <is>
          <t>Online</t>
        </is>
      </c>
      <c r="F90" t="inlineStr">
        <is>
          <t>Nest Basket</t>
        </is>
      </c>
      <c r="G90" t="inlineStr">
        <is>
          <t>Living</t>
        </is>
      </c>
      <c r="H90" t="n">
        <v>4</v>
      </c>
      <c r="I90" s="11" t="n">
        <v>55</v>
      </c>
      <c r="J90" s="12" t="n">
        <v>0.1</v>
      </c>
      <c r="K90" s="11">
        <f>H90*I90*(1-J90)</f>
        <v/>
      </c>
      <c r="L90" s="11" t="n">
        <v>24</v>
      </c>
      <c r="M90" s="11">
        <f>K90-(H90*L90)</f>
        <v/>
      </c>
      <c r="N90" s="11">
        <f>H90*11</f>
        <v/>
      </c>
    </row>
    <row r="91">
      <c r="A91" t="inlineStr">
        <is>
          <t>LL-00090</t>
        </is>
      </c>
      <c r="B91" s="10" t="n">
        <v>46127</v>
      </c>
      <c r="C91" t="inlineStr">
        <is>
          <t>Apr</t>
        </is>
      </c>
      <c r="D91" t="inlineStr">
        <is>
          <t>West</t>
        </is>
      </c>
      <c r="E91" t="inlineStr">
        <is>
          <t>Online</t>
        </is>
      </c>
      <c r="F91" t="inlineStr">
        <is>
          <t>Arc Side Table</t>
        </is>
      </c>
      <c r="G91" t="inlineStr">
        <is>
          <t>Living</t>
        </is>
      </c>
      <c r="H91" t="n">
        <v>3</v>
      </c>
      <c r="I91" s="11" t="n">
        <v>139</v>
      </c>
      <c r="J91" s="12" t="n">
        <v>0.2</v>
      </c>
      <c r="K91" s="11">
        <f>H91*I91*(1-J91)</f>
        <v/>
      </c>
      <c r="L91" s="11" t="n">
        <v>72</v>
      </c>
      <c r="M91" s="11">
        <f>K91-(H91*L91)</f>
        <v/>
      </c>
      <c r="N91" s="11">
        <f>H91*11</f>
        <v/>
      </c>
    </row>
    <row r="92">
      <c r="A92" t="inlineStr">
        <is>
          <t>LL-00091</t>
        </is>
      </c>
      <c r="B92" s="10" t="n">
        <v>46132</v>
      </c>
      <c r="C92" t="inlineStr">
        <is>
          <t>Apr</t>
        </is>
      </c>
      <c r="D92" t="inlineStr">
        <is>
          <t>South</t>
        </is>
      </c>
      <c r="E92" t="inlineStr">
        <is>
          <t>Retail</t>
        </is>
      </c>
      <c r="F92" t="inlineStr">
        <is>
          <t>Focus Monitor Stand</t>
        </is>
      </c>
      <c r="G92" t="inlineStr">
        <is>
          <t>Workspace</t>
        </is>
      </c>
      <c r="H92" t="n">
        <v>8</v>
      </c>
      <c r="I92" s="11" t="n">
        <v>79</v>
      </c>
      <c r="J92" s="12" t="n">
        <v>0.15</v>
      </c>
      <c r="K92" s="11">
        <f>H92*I92*(1-J92)</f>
        <v/>
      </c>
      <c r="L92" s="11" t="n">
        <v>36</v>
      </c>
      <c r="M92" s="11">
        <f>K92-(H92*L92)</f>
        <v/>
      </c>
      <c r="N92" s="11">
        <f>H92*6</f>
        <v/>
      </c>
    </row>
    <row r="93">
      <c r="A93" t="inlineStr">
        <is>
          <t>LL-00092</t>
        </is>
      </c>
      <c r="B93" s="10" t="n">
        <v>46272</v>
      </c>
      <c r="C93" t="inlineStr">
        <is>
          <t>Sep</t>
        </is>
      </c>
      <c r="D93" t="inlineStr">
        <is>
          <t>West</t>
        </is>
      </c>
      <c r="E93" t="inlineStr">
        <is>
          <t>Online</t>
        </is>
      </c>
      <c r="F93" t="inlineStr">
        <is>
          <t>Luna Throw</t>
        </is>
      </c>
      <c r="G93" t="inlineStr">
        <is>
          <t>Living</t>
        </is>
      </c>
      <c r="H93" t="n">
        <v>8</v>
      </c>
      <c r="I93" s="11" t="n">
        <v>69</v>
      </c>
      <c r="J93" s="12" t="n">
        <v>0.15</v>
      </c>
      <c r="K93" s="11">
        <f>H93*I93*(1-J93)</f>
        <v/>
      </c>
      <c r="L93" s="11" t="n">
        <v>31</v>
      </c>
      <c r="M93" s="11">
        <f>K93-(H93*L93)</f>
        <v/>
      </c>
      <c r="N93" s="11">
        <f>H93*11</f>
        <v/>
      </c>
    </row>
    <row r="94">
      <c r="A94" t="inlineStr">
        <is>
          <t>LL-00093</t>
        </is>
      </c>
      <c r="B94" s="10" t="n">
        <v>46073</v>
      </c>
      <c r="C94" t="inlineStr">
        <is>
          <t>Feb</t>
        </is>
      </c>
      <c r="D94" t="inlineStr">
        <is>
          <t>South</t>
        </is>
      </c>
      <c r="E94" t="inlineStr">
        <is>
          <t>Retail</t>
        </is>
      </c>
      <c r="F94" t="inlineStr">
        <is>
          <t>Arc Side Table</t>
        </is>
      </c>
      <c r="G94" t="inlineStr">
        <is>
          <t>Living</t>
        </is>
      </c>
      <c r="H94" t="n">
        <v>3</v>
      </c>
      <c r="I94" s="11" t="n">
        <v>139</v>
      </c>
      <c r="J94" s="12" t="n">
        <v>0.15</v>
      </c>
      <c r="K94" s="11">
        <f>H94*I94*(1-J94)</f>
        <v/>
      </c>
      <c r="L94" s="11" t="n">
        <v>72</v>
      </c>
      <c r="M94" s="11">
        <f>K94-(H94*L94)</f>
        <v/>
      </c>
      <c r="N94" s="11">
        <f>H94*6</f>
        <v/>
      </c>
    </row>
    <row r="95">
      <c r="A95" t="inlineStr">
        <is>
          <t>LL-00094</t>
        </is>
      </c>
      <c r="B95" s="10" t="n">
        <v>46184</v>
      </c>
      <c r="C95" t="inlineStr">
        <is>
          <t>Jun</t>
        </is>
      </c>
      <c r="D95" t="inlineStr">
        <is>
          <t>North</t>
        </is>
      </c>
      <c r="E95" t="inlineStr">
        <is>
          <t>Online</t>
        </is>
      </c>
      <c r="F95" t="inlineStr">
        <is>
          <t>Aurora Desk Lamp</t>
        </is>
      </c>
      <c r="G95" t="inlineStr">
        <is>
          <t>Lighting</t>
        </is>
      </c>
      <c r="H95" t="n">
        <v>1</v>
      </c>
      <c r="I95" s="11" t="n">
        <v>89</v>
      </c>
      <c r="J95" s="12" t="n">
        <v>0.1</v>
      </c>
      <c r="K95" s="11">
        <f>H95*I95*(1-J95)</f>
        <v/>
      </c>
      <c r="L95" s="11" t="n">
        <v>42</v>
      </c>
      <c r="M95" s="11">
        <f>K95-(H95*L95)</f>
        <v/>
      </c>
      <c r="N95" s="11">
        <f>H95*11</f>
        <v/>
      </c>
    </row>
    <row r="96">
      <c r="A96" t="inlineStr">
        <is>
          <t>LL-00095</t>
        </is>
      </c>
      <c r="B96" s="10" t="n">
        <v>46044</v>
      </c>
      <c r="C96" t="inlineStr">
        <is>
          <t>Jan</t>
        </is>
      </c>
      <c r="D96" t="inlineStr">
        <is>
          <t>West</t>
        </is>
      </c>
      <c r="E96" t="inlineStr">
        <is>
          <t>Online</t>
        </is>
      </c>
      <c r="F96" t="inlineStr">
        <is>
          <t>Nest Basket</t>
        </is>
      </c>
      <c r="G96" t="inlineStr">
        <is>
          <t>Living</t>
        </is>
      </c>
      <c r="H96" t="n">
        <v>2</v>
      </c>
      <c r="I96" s="11" t="n">
        <v>55</v>
      </c>
      <c r="J96" s="12" t="n">
        <v>0.2</v>
      </c>
      <c r="K96" s="11">
        <f>H96*I96*(1-J96)</f>
        <v/>
      </c>
      <c r="L96" s="11" t="n">
        <v>24</v>
      </c>
      <c r="M96" s="11">
        <f>K96-(H96*L96)</f>
        <v/>
      </c>
      <c r="N96" s="11">
        <f>H96*11</f>
        <v/>
      </c>
    </row>
    <row r="97">
      <c r="A97" t="inlineStr">
        <is>
          <t>LL-00096</t>
        </is>
      </c>
      <c r="B97" s="10" t="n">
        <v>46384</v>
      </c>
      <c r="C97" t="inlineStr">
        <is>
          <t>Dec</t>
        </is>
      </c>
      <c r="D97" t="inlineStr">
        <is>
          <t>North</t>
        </is>
      </c>
      <c r="E97" t="inlineStr">
        <is>
          <t>Marketplace</t>
        </is>
      </c>
      <c r="F97" t="inlineStr">
        <is>
          <t>Halo Floor Lamp</t>
        </is>
      </c>
      <c r="G97" t="inlineStr">
        <is>
          <t>Lighting</t>
        </is>
      </c>
      <c r="H97" t="n">
        <v>1</v>
      </c>
      <c r="I97" s="11" t="n">
        <v>159</v>
      </c>
      <c r="J97" s="12" t="n">
        <v>0.1</v>
      </c>
      <c r="K97" s="11">
        <f>H97*I97*(1-J97)</f>
        <v/>
      </c>
      <c r="L97" s="11" t="n">
        <v>79</v>
      </c>
      <c r="M97" s="11">
        <f>K97-(H97*L97)</f>
        <v/>
      </c>
      <c r="N97" s="11">
        <f>H97*15</f>
        <v/>
      </c>
    </row>
    <row r="98">
      <c r="A98" t="inlineStr">
        <is>
          <t>LL-00097</t>
        </is>
      </c>
      <c r="B98" s="10" t="n">
        <v>46141</v>
      </c>
      <c r="C98" t="inlineStr">
        <is>
          <t>Apr</t>
        </is>
      </c>
      <c r="D98" t="inlineStr">
        <is>
          <t>South</t>
        </is>
      </c>
      <c r="E98" t="inlineStr">
        <is>
          <t>Retail</t>
        </is>
      </c>
      <c r="F98" t="inlineStr">
        <is>
          <t>Nest Basket</t>
        </is>
      </c>
      <c r="G98" t="inlineStr">
        <is>
          <t>Living</t>
        </is>
      </c>
      <c r="H98" t="n">
        <v>7</v>
      </c>
      <c r="I98" s="11" t="n">
        <v>55</v>
      </c>
      <c r="J98" s="12" t="n">
        <v>0.05</v>
      </c>
      <c r="K98" s="11">
        <f>H98*I98*(1-J98)</f>
        <v/>
      </c>
      <c r="L98" s="11" t="n">
        <v>24</v>
      </c>
      <c r="M98" s="11">
        <f>K98-(H98*L98)</f>
        <v/>
      </c>
      <c r="N98" s="11">
        <f>H98*6</f>
        <v/>
      </c>
    </row>
    <row r="99">
      <c r="A99" t="inlineStr">
        <is>
          <t>LL-00098</t>
        </is>
      </c>
      <c r="B99" s="10" t="n">
        <v>46357</v>
      </c>
      <c r="C99" t="inlineStr">
        <is>
          <t>Dec</t>
        </is>
      </c>
      <c r="D99" t="inlineStr">
        <is>
          <t>North</t>
        </is>
      </c>
      <c r="E99" t="inlineStr">
        <is>
          <t>Retail</t>
        </is>
      </c>
      <c r="F99" t="inlineStr">
        <is>
          <t>Focus Monitor Stand</t>
        </is>
      </c>
      <c r="G99" t="inlineStr">
        <is>
          <t>Workspace</t>
        </is>
      </c>
      <c r="H99" t="n">
        <v>2</v>
      </c>
      <c r="I99" s="11" t="n">
        <v>79</v>
      </c>
      <c r="J99" s="12" t="n">
        <v>0</v>
      </c>
      <c r="K99" s="11">
        <f>H99*I99*(1-J99)</f>
        <v/>
      </c>
      <c r="L99" s="11" t="n">
        <v>36</v>
      </c>
      <c r="M99" s="11">
        <f>K99-(H99*L99)</f>
        <v/>
      </c>
      <c r="N99" s="11">
        <f>H99*6</f>
        <v/>
      </c>
    </row>
    <row r="100">
      <c r="A100" t="inlineStr">
        <is>
          <t>LL-00099</t>
        </is>
      </c>
      <c r="B100" s="10" t="n">
        <v>46284</v>
      </c>
      <c r="C100" t="inlineStr">
        <is>
          <t>Sep</t>
        </is>
      </c>
      <c r="D100" t="inlineStr">
        <is>
          <t>South</t>
        </is>
      </c>
      <c r="E100" t="inlineStr">
        <is>
          <t>Retail</t>
        </is>
      </c>
      <c r="F100" t="inlineStr">
        <is>
          <t>Arc Side Table</t>
        </is>
      </c>
      <c r="G100" t="inlineStr">
        <is>
          <t>Living</t>
        </is>
      </c>
      <c r="H100" t="n">
        <v>6</v>
      </c>
      <c r="I100" s="11" t="n">
        <v>139</v>
      </c>
      <c r="J100" s="12" t="n">
        <v>0</v>
      </c>
      <c r="K100" s="11">
        <f>H100*I100*(1-J100)</f>
        <v/>
      </c>
      <c r="L100" s="11" t="n">
        <v>72</v>
      </c>
      <c r="M100" s="11">
        <f>K100-(H100*L100)</f>
        <v/>
      </c>
      <c r="N100" s="11">
        <f>H100*6</f>
        <v/>
      </c>
    </row>
    <row r="101">
      <c r="A101" t="inlineStr">
        <is>
          <t>LL-00100</t>
        </is>
      </c>
      <c r="B101" s="10" t="n">
        <v>46176</v>
      </c>
      <c r="C101" t="inlineStr">
        <is>
          <t>Jun</t>
        </is>
      </c>
      <c r="D101" t="inlineStr">
        <is>
          <t>North</t>
        </is>
      </c>
      <c r="E101" t="inlineStr">
        <is>
          <t>Retail</t>
        </is>
      </c>
      <c r="F101" t="inlineStr">
        <is>
          <t>Halo Floor Lamp</t>
        </is>
      </c>
      <c r="G101" t="inlineStr">
        <is>
          <t>Lighting</t>
        </is>
      </c>
      <c r="H101" t="n">
        <v>1</v>
      </c>
      <c r="I101" s="11" t="n">
        <v>159</v>
      </c>
      <c r="J101" s="12" t="n">
        <v>0.05</v>
      </c>
      <c r="K101" s="11">
        <f>H101*I101*(1-J101)</f>
        <v/>
      </c>
      <c r="L101" s="11" t="n">
        <v>79</v>
      </c>
      <c r="M101" s="11">
        <f>K101-(H101*L101)</f>
        <v/>
      </c>
      <c r="N101" s="11">
        <f>H101*6</f>
        <v/>
      </c>
    </row>
    <row r="102">
      <c r="A102" t="inlineStr">
        <is>
          <t>LL-00101</t>
        </is>
      </c>
      <c r="B102" s="10" t="n">
        <v>46129</v>
      </c>
      <c r="C102" t="inlineStr">
        <is>
          <t>Apr</t>
        </is>
      </c>
      <c r="D102" t="inlineStr">
        <is>
          <t>North</t>
        </is>
      </c>
      <c r="E102" t="inlineStr">
        <is>
          <t>Online</t>
        </is>
      </c>
      <c r="F102" t="inlineStr">
        <is>
          <t>Luna Throw</t>
        </is>
      </c>
      <c r="G102" t="inlineStr">
        <is>
          <t>Living</t>
        </is>
      </c>
      <c r="H102" t="n">
        <v>3</v>
      </c>
      <c r="I102" s="11" t="n">
        <v>69</v>
      </c>
      <c r="J102" s="12" t="n">
        <v>0.1</v>
      </c>
      <c r="K102" s="11">
        <f>H102*I102*(1-J102)</f>
        <v/>
      </c>
      <c r="L102" s="11" t="n">
        <v>31</v>
      </c>
      <c r="M102" s="11">
        <f>K102-(H102*L102)</f>
        <v/>
      </c>
      <c r="N102" s="11">
        <f>H102*11</f>
        <v/>
      </c>
    </row>
    <row r="103">
      <c r="A103" t="inlineStr">
        <is>
          <t>LL-00102</t>
        </is>
      </c>
      <c r="B103" s="10" t="n">
        <v>46308</v>
      </c>
      <c r="C103" t="inlineStr">
        <is>
          <t>Oct</t>
        </is>
      </c>
      <c r="D103" t="inlineStr">
        <is>
          <t>East</t>
        </is>
      </c>
      <c r="E103" t="inlineStr">
        <is>
          <t>Retail</t>
        </is>
      </c>
      <c r="F103" t="inlineStr">
        <is>
          <t>Focus Monitor Stand</t>
        </is>
      </c>
      <c r="G103" t="inlineStr">
        <is>
          <t>Workspace</t>
        </is>
      </c>
      <c r="H103" t="n">
        <v>6</v>
      </c>
      <c r="I103" s="11" t="n">
        <v>79</v>
      </c>
      <c r="J103" s="12" t="n">
        <v>0.15</v>
      </c>
      <c r="K103" s="11">
        <f>H103*I103*(1-J103)</f>
        <v/>
      </c>
      <c r="L103" s="11" t="n">
        <v>36</v>
      </c>
      <c r="M103" s="11">
        <f>K103-(H103*L103)</f>
        <v/>
      </c>
      <c r="N103" s="11">
        <f>H103*6</f>
        <v/>
      </c>
    </row>
    <row r="104">
      <c r="A104" t="inlineStr">
        <is>
          <t>LL-00103</t>
        </is>
      </c>
      <c r="B104" s="10" t="n">
        <v>46071</v>
      </c>
      <c r="C104" t="inlineStr">
        <is>
          <t>Feb</t>
        </is>
      </c>
      <c r="D104" t="inlineStr">
        <is>
          <t>East</t>
        </is>
      </c>
      <c r="E104" t="inlineStr">
        <is>
          <t>Retail</t>
        </is>
      </c>
      <c r="F104" t="inlineStr">
        <is>
          <t>Luna Throw</t>
        </is>
      </c>
      <c r="G104" t="inlineStr">
        <is>
          <t>Living</t>
        </is>
      </c>
      <c r="H104" t="n">
        <v>7</v>
      </c>
      <c r="I104" s="11" t="n">
        <v>69</v>
      </c>
      <c r="J104" s="12" t="n">
        <v>0</v>
      </c>
      <c r="K104" s="11">
        <f>H104*I104*(1-J104)</f>
        <v/>
      </c>
      <c r="L104" s="11" t="n">
        <v>31</v>
      </c>
      <c r="M104" s="11">
        <f>K104-(H104*L104)</f>
        <v/>
      </c>
      <c r="N104" s="11">
        <f>H104*6</f>
        <v/>
      </c>
    </row>
    <row r="105">
      <c r="A105" t="inlineStr">
        <is>
          <t>LL-00104</t>
        </is>
      </c>
      <c r="B105" s="10" t="n">
        <v>46173</v>
      </c>
      <c r="C105" t="inlineStr">
        <is>
          <t>May</t>
        </is>
      </c>
      <c r="D105" t="inlineStr">
        <is>
          <t>South</t>
        </is>
      </c>
      <c r="E105" t="inlineStr">
        <is>
          <t>Retail</t>
        </is>
      </c>
      <c r="F105" t="inlineStr">
        <is>
          <t>Halo Floor Lamp</t>
        </is>
      </c>
      <c r="G105" t="inlineStr">
        <is>
          <t>Lighting</t>
        </is>
      </c>
      <c r="H105" t="n">
        <v>3</v>
      </c>
      <c r="I105" s="11" t="n">
        <v>159</v>
      </c>
      <c r="J105" s="12" t="n">
        <v>0.1</v>
      </c>
      <c r="K105" s="11">
        <f>H105*I105*(1-J105)</f>
        <v/>
      </c>
      <c r="L105" s="11" t="n">
        <v>79</v>
      </c>
      <c r="M105" s="11">
        <f>K105-(H105*L105)</f>
        <v/>
      </c>
      <c r="N105" s="11">
        <f>H105*6</f>
        <v/>
      </c>
    </row>
    <row r="106">
      <c r="A106" t="inlineStr">
        <is>
          <t>LL-00105</t>
        </is>
      </c>
      <c r="B106" s="10" t="n">
        <v>46264</v>
      </c>
      <c r="C106" t="inlineStr">
        <is>
          <t>Aug</t>
        </is>
      </c>
      <c r="D106" t="inlineStr">
        <is>
          <t>South</t>
        </is>
      </c>
      <c r="E106" t="inlineStr">
        <is>
          <t>Online</t>
        </is>
      </c>
      <c r="F106" t="inlineStr">
        <is>
          <t>Arc Side Table</t>
        </is>
      </c>
      <c r="G106" t="inlineStr">
        <is>
          <t>Living</t>
        </is>
      </c>
      <c r="H106" t="n">
        <v>5</v>
      </c>
      <c r="I106" s="11" t="n">
        <v>139</v>
      </c>
      <c r="J106" s="12" t="n">
        <v>0.1</v>
      </c>
      <c r="K106" s="11">
        <f>H106*I106*(1-J106)</f>
        <v/>
      </c>
      <c r="L106" s="11" t="n">
        <v>72</v>
      </c>
      <c r="M106" s="11">
        <f>K106-(H106*L106)</f>
        <v/>
      </c>
      <c r="N106" s="11">
        <f>H106*11</f>
        <v/>
      </c>
    </row>
    <row r="107">
      <c r="A107" t="inlineStr">
        <is>
          <t>LL-00106</t>
        </is>
      </c>
      <c r="B107" s="10" t="n">
        <v>46184</v>
      </c>
      <c r="C107" t="inlineStr">
        <is>
          <t>Jun</t>
        </is>
      </c>
      <c r="D107" t="inlineStr">
        <is>
          <t>East</t>
        </is>
      </c>
      <c r="E107" t="inlineStr">
        <is>
          <t>Retail</t>
        </is>
      </c>
      <c r="F107" t="inlineStr">
        <is>
          <t>Focus Monitor Stand</t>
        </is>
      </c>
      <c r="G107" t="inlineStr">
        <is>
          <t>Workspace</t>
        </is>
      </c>
      <c r="H107" t="n">
        <v>2</v>
      </c>
      <c r="I107" s="11" t="n">
        <v>79</v>
      </c>
      <c r="J107" s="12" t="n">
        <v>0.05</v>
      </c>
      <c r="K107" s="11">
        <f>H107*I107*(1-J107)</f>
        <v/>
      </c>
      <c r="L107" s="11" t="n">
        <v>36</v>
      </c>
      <c r="M107" s="11">
        <f>K107-(H107*L107)</f>
        <v/>
      </c>
      <c r="N107" s="11">
        <f>H107*6</f>
        <v/>
      </c>
    </row>
    <row r="108">
      <c r="A108" t="inlineStr">
        <is>
          <t>LL-00107</t>
        </is>
      </c>
      <c r="B108" s="10" t="n">
        <v>46288</v>
      </c>
      <c r="C108" t="inlineStr">
        <is>
          <t>Sep</t>
        </is>
      </c>
      <c r="D108" t="inlineStr">
        <is>
          <t>East</t>
        </is>
      </c>
      <c r="E108" t="inlineStr">
        <is>
          <t>Retail</t>
        </is>
      </c>
      <c r="F108" t="inlineStr">
        <is>
          <t>Nest Basket</t>
        </is>
      </c>
      <c r="G108" t="inlineStr">
        <is>
          <t>Living</t>
        </is>
      </c>
      <c r="H108" t="n">
        <v>6</v>
      </c>
      <c r="I108" s="11" t="n">
        <v>55</v>
      </c>
      <c r="J108" s="12" t="n">
        <v>0.1</v>
      </c>
      <c r="K108" s="11">
        <f>H108*I108*(1-J108)</f>
        <v/>
      </c>
      <c r="L108" s="11" t="n">
        <v>24</v>
      </c>
      <c r="M108" s="11">
        <f>K108-(H108*L108)</f>
        <v/>
      </c>
      <c r="N108" s="11">
        <f>H108*6</f>
        <v/>
      </c>
    </row>
    <row r="109">
      <c r="A109" t="inlineStr">
        <is>
          <t>LL-00108</t>
        </is>
      </c>
      <c r="B109" s="10" t="n">
        <v>46067</v>
      </c>
      <c r="C109" t="inlineStr">
        <is>
          <t>Feb</t>
        </is>
      </c>
      <c r="D109" t="inlineStr">
        <is>
          <t>East</t>
        </is>
      </c>
      <c r="E109" t="inlineStr">
        <is>
          <t>Online</t>
        </is>
      </c>
      <c r="F109" t="inlineStr">
        <is>
          <t>Luna Throw</t>
        </is>
      </c>
      <c r="G109" t="inlineStr">
        <is>
          <t>Living</t>
        </is>
      </c>
      <c r="H109" t="n">
        <v>6</v>
      </c>
      <c r="I109" s="11" t="n">
        <v>69</v>
      </c>
      <c r="J109" s="12" t="n">
        <v>0.2</v>
      </c>
      <c r="K109" s="11">
        <f>H109*I109*(1-J109)</f>
        <v/>
      </c>
      <c r="L109" s="11" t="n">
        <v>31</v>
      </c>
      <c r="M109" s="11">
        <f>K109-(H109*L109)</f>
        <v/>
      </c>
      <c r="N109" s="11">
        <f>H109*11</f>
        <v/>
      </c>
    </row>
    <row r="110">
      <c r="A110" t="inlineStr">
        <is>
          <t>LL-00109</t>
        </is>
      </c>
      <c r="B110" s="10" t="n">
        <v>46089</v>
      </c>
      <c r="C110" t="inlineStr">
        <is>
          <t>Mar</t>
        </is>
      </c>
      <c r="D110" t="inlineStr">
        <is>
          <t>North</t>
        </is>
      </c>
      <c r="E110" t="inlineStr">
        <is>
          <t>Marketplace</t>
        </is>
      </c>
      <c r="F110" t="inlineStr">
        <is>
          <t>Luna Throw</t>
        </is>
      </c>
      <c r="G110" t="inlineStr">
        <is>
          <t>Living</t>
        </is>
      </c>
      <c r="H110" t="n">
        <v>8</v>
      </c>
      <c r="I110" s="11" t="n">
        <v>69</v>
      </c>
      <c r="J110" s="12" t="n">
        <v>0.1</v>
      </c>
      <c r="K110" s="11">
        <f>H110*I110*(1-J110)</f>
        <v/>
      </c>
      <c r="L110" s="11" t="n">
        <v>31</v>
      </c>
      <c r="M110" s="11">
        <f>K110-(H110*L110)</f>
        <v/>
      </c>
      <c r="N110" s="11">
        <f>H110*15</f>
        <v/>
      </c>
    </row>
    <row r="111">
      <c r="A111" t="inlineStr">
        <is>
          <t>LL-00110</t>
        </is>
      </c>
      <c r="B111" s="10" t="n">
        <v>46247</v>
      </c>
      <c r="C111" t="inlineStr">
        <is>
          <t>Aug</t>
        </is>
      </c>
      <c r="D111" t="inlineStr">
        <is>
          <t>West</t>
        </is>
      </c>
      <c r="E111" t="inlineStr">
        <is>
          <t>Retail</t>
        </is>
      </c>
      <c r="F111" t="inlineStr">
        <is>
          <t>Focus Monitor Stand</t>
        </is>
      </c>
      <c r="G111" t="inlineStr">
        <is>
          <t>Workspace</t>
        </is>
      </c>
      <c r="H111" t="n">
        <v>7</v>
      </c>
      <c r="I111" s="11" t="n">
        <v>79</v>
      </c>
      <c r="J111" s="12" t="n">
        <v>0</v>
      </c>
      <c r="K111" s="11">
        <f>H111*I111*(1-J111)</f>
        <v/>
      </c>
      <c r="L111" s="11" t="n">
        <v>36</v>
      </c>
      <c r="M111" s="11">
        <f>K111-(H111*L111)</f>
        <v/>
      </c>
      <c r="N111" s="11">
        <f>H111*6</f>
        <v/>
      </c>
    </row>
    <row r="112">
      <c r="A112" t="inlineStr">
        <is>
          <t>LL-00111</t>
        </is>
      </c>
      <c r="B112" s="10" t="n">
        <v>46287</v>
      </c>
      <c r="C112" t="inlineStr">
        <is>
          <t>Sep</t>
        </is>
      </c>
      <c r="D112" t="inlineStr">
        <is>
          <t>East</t>
        </is>
      </c>
      <c r="E112" t="inlineStr">
        <is>
          <t>Retail</t>
        </is>
      </c>
      <c r="F112" t="inlineStr">
        <is>
          <t>Aurora Desk Lamp</t>
        </is>
      </c>
      <c r="G112" t="inlineStr">
        <is>
          <t>Lighting</t>
        </is>
      </c>
      <c r="H112" t="n">
        <v>8</v>
      </c>
      <c r="I112" s="11" t="n">
        <v>89</v>
      </c>
      <c r="J112" s="12" t="n">
        <v>0</v>
      </c>
      <c r="K112" s="11">
        <f>H112*I112*(1-J112)</f>
        <v/>
      </c>
      <c r="L112" s="11" t="n">
        <v>42</v>
      </c>
      <c r="M112" s="11">
        <f>K112-(H112*L112)</f>
        <v/>
      </c>
      <c r="N112" s="11">
        <f>H112*6</f>
        <v/>
      </c>
    </row>
    <row r="113">
      <c r="A113" t="inlineStr">
        <is>
          <t>LL-00112</t>
        </is>
      </c>
      <c r="B113" s="10" t="n">
        <v>46236</v>
      </c>
      <c r="C113" t="inlineStr">
        <is>
          <t>Aug</t>
        </is>
      </c>
      <c r="D113" t="inlineStr">
        <is>
          <t>North</t>
        </is>
      </c>
      <c r="E113" t="inlineStr">
        <is>
          <t>Retail</t>
        </is>
      </c>
      <c r="F113" t="inlineStr">
        <is>
          <t>Aurora Desk Lamp</t>
        </is>
      </c>
      <c r="G113" t="inlineStr">
        <is>
          <t>Lighting</t>
        </is>
      </c>
      <c r="H113" t="n">
        <v>1</v>
      </c>
      <c r="I113" s="11" t="n">
        <v>89</v>
      </c>
      <c r="J113" s="12" t="n">
        <v>0.1</v>
      </c>
      <c r="K113" s="11">
        <f>H113*I113*(1-J113)</f>
        <v/>
      </c>
      <c r="L113" s="11" t="n">
        <v>42</v>
      </c>
      <c r="M113" s="11">
        <f>K113-(H113*L113)</f>
        <v/>
      </c>
      <c r="N113" s="11">
        <f>H113*6</f>
        <v/>
      </c>
    </row>
    <row r="114">
      <c r="A114" t="inlineStr">
        <is>
          <t>LL-00113</t>
        </is>
      </c>
      <c r="B114" s="10" t="n">
        <v>46118</v>
      </c>
      <c r="C114" t="inlineStr">
        <is>
          <t>Apr</t>
        </is>
      </c>
      <c r="D114" t="inlineStr">
        <is>
          <t>South</t>
        </is>
      </c>
      <c r="E114" t="inlineStr">
        <is>
          <t>Online</t>
        </is>
      </c>
      <c r="F114" t="inlineStr">
        <is>
          <t>Halo Floor Lamp</t>
        </is>
      </c>
      <c r="G114" t="inlineStr">
        <is>
          <t>Lighting</t>
        </is>
      </c>
      <c r="H114" t="n">
        <v>3</v>
      </c>
      <c r="I114" s="11" t="n">
        <v>159</v>
      </c>
      <c r="J114" s="12" t="n">
        <v>0.15</v>
      </c>
      <c r="K114" s="11">
        <f>H114*I114*(1-J114)</f>
        <v/>
      </c>
      <c r="L114" s="11" t="n">
        <v>79</v>
      </c>
      <c r="M114" s="11">
        <f>K114-(H114*L114)</f>
        <v/>
      </c>
      <c r="N114" s="11">
        <f>H114*11</f>
        <v/>
      </c>
    </row>
    <row r="115">
      <c r="A115" t="inlineStr">
        <is>
          <t>LL-00114</t>
        </is>
      </c>
      <c r="B115" s="10" t="n">
        <v>46248</v>
      </c>
      <c r="C115" t="inlineStr">
        <is>
          <t>Aug</t>
        </is>
      </c>
      <c r="D115" t="inlineStr">
        <is>
          <t>North</t>
        </is>
      </c>
      <c r="E115" t="inlineStr">
        <is>
          <t>Marketplace</t>
        </is>
      </c>
      <c r="F115" t="inlineStr">
        <is>
          <t>Focus Monitor Stand</t>
        </is>
      </c>
      <c r="G115" t="inlineStr">
        <is>
          <t>Workspace</t>
        </is>
      </c>
      <c r="H115" t="n">
        <v>2</v>
      </c>
      <c r="I115" s="11" t="n">
        <v>79</v>
      </c>
      <c r="J115" s="12" t="n">
        <v>0.05</v>
      </c>
      <c r="K115" s="11">
        <f>H115*I115*(1-J115)</f>
        <v/>
      </c>
      <c r="L115" s="11" t="n">
        <v>36</v>
      </c>
      <c r="M115" s="11">
        <f>K115-(H115*L115)</f>
        <v/>
      </c>
      <c r="N115" s="11">
        <f>H115*15</f>
        <v/>
      </c>
    </row>
    <row r="116">
      <c r="A116" t="inlineStr">
        <is>
          <t>LL-00115</t>
        </is>
      </c>
      <c r="B116" s="10" t="n">
        <v>46338</v>
      </c>
      <c r="C116" t="inlineStr">
        <is>
          <t>Nov</t>
        </is>
      </c>
      <c r="D116" t="inlineStr">
        <is>
          <t>East</t>
        </is>
      </c>
      <c r="E116" t="inlineStr">
        <is>
          <t>Retail</t>
        </is>
      </c>
      <c r="F116" t="inlineStr">
        <is>
          <t>Focus Monitor Stand</t>
        </is>
      </c>
      <c r="G116" t="inlineStr">
        <is>
          <t>Workspace</t>
        </is>
      </c>
      <c r="H116" t="n">
        <v>3</v>
      </c>
      <c r="I116" s="11" t="n">
        <v>79</v>
      </c>
      <c r="J116" s="12" t="n">
        <v>0.05</v>
      </c>
      <c r="K116" s="11">
        <f>H116*I116*(1-J116)</f>
        <v/>
      </c>
      <c r="L116" s="11" t="n">
        <v>36</v>
      </c>
      <c r="M116" s="11">
        <f>K116-(H116*L116)</f>
        <v/>
      </c>
      <c r="N116" s="11">
        <f>H116*6</f>
        <v/>
      </c>
    </row>
    <row r="117">
      <c r="A117" t="inlineStr">
        <is>
          <t>LL-00116</t>
        </is>
      </c>
      <c r="B117" s="10" t="n">
        <v>46030</v>
      </c>
      <c r="C117" t="inlineStr">
        <is>
          <t>Jan</t>
        </is>
      </c>
      <c r="D117" t="inlineStr">
        <is>
          <t>West</t>
        </is>
      </c>
      <c r="E117" t="inlineStr">
        <is>
          <t>Online</t>
        </is>
      </c>
      <c r="F117" t="inlineStr">
        <is>
          <t>Nest Basket</t>
        </is>
      </c>
      <c r="G117" t="inlineStr">
        <is>
          <t>Living</t>
        </is>
      </c>
      <c r="H117" t="n">
        <v>6</v>
      </c>
      <c r="I117" s="11" t="n">
        <v>55</v>
      </c>
      <c r="J117" s="12" t="n">
        <v>0.15</v>
      </c>
      <c r="K117" s="11">
        <f>H117*I117*(1-J117)</f>
        <v/>
      </c>
      <c r="L117" s="11" t="n">
        <v>24</v>
      </c>
      <c r="M117" s="11">
        <f>K117-(H117*L117)</f>
        <v/>
      </c>
      <c r="N117" s="11">
        <f>H117*11</f>
        <v/>
      </c>
    </row>
    <row r="118">
      <c r="A118" t="inlineStr">
        <is>
          <t>LL-00117</t>
        </is>
      </c>
      <c r="B118" s="10" t="n">
        <v>46293</v>
      </c>
      <c r="C118" t="inlineStr">
        <is>
          <t>Sep</t>
        </is>
      </c>
      <c r="D118" t="inlineStr">
        <is>
          <t>North</t>
        </is>
      </c>
      <c r="E118" t="inlineStr">
        <is>
          <t>Retail</t>
        </is>
      </c>
      <c r="F118" t="inlineStr">
        <is>
          <t>Luna Throw</t>
        </is>
      </c>
      <c r="G118" t="inlineStr">
        <is>
          <t>Living</t>
        </is>
      </c>
      <c r="H118" t="n">
        <v>5</v>
      </c>
      <c r="I118" s="11" t="n">
        <v>69</v>
      </c>
      <c r="J118" s="12" t="n">
        <v>0.1</v>
      </c>
      <c r="K118" s="11">
        <f>H118*I118*(1-J118)</f>
        <v/>
      </c>
      <c r="L118" s="11" t="n">
        <v>31</v>
      </c>
      <c r="M118" s="11">
        <f>K118-(H118*L118)</f>
        <v/>
      </c>
      <c r="N118" s="11">
        <f>H118*6</f>
        <v/>
      </c>
    </row>
    <row r="119">
      <c r="A119" t="inlineStr">
        <is>
          <t>LL-00118</t>
        </is>
      </c>
      <c r="B119" s="10" t="n">
        <v>46200</v>
      </c>
      <c r="C119" t="inlineStr">
        <is>
          <t>Jun</t>
        </is>
      </c>
      <c r="D119" t="inlineStr">
        <is>
          <t>North</t>
        </is>
      </c>
      <c r="E119" t="inlineStr">
        <is>
          <t>Retail</t>
        </is>
      </c>
      <c r="F119" t="inlineStr">
        <is>
          <t>Arc Side Table</t>
        </is>
      </c>
      <c r="G119" t="inlineStr">
        <is>
          <t>Living</t>
        </is>
      </c>
      <c r="H119" t="n">
        <v>1</v>
      </c>
      <c r="I119" s="11" t="n">
        <v>139</v>
      </c>
      <c r="J119" s="12" t="n">
        <v>0.1</v>
      </c>
      <c r="K119" s="11">
        <f>H119*I119*(1-J119)</f>
        <v/>
      </c>
      <c r="L119" s="11" t="n">
        <v>72</v>
      </c>
      <c r="M119" s="11">
        <f>K119-(H119*L119)</f>
        <v/>
      </c>
      <c r="N119" s="11">
        <f>H119*6</f>
        <v/>
      </c>
    </row>
    <row r="120">
      <c r="A120" t="inlineStr">
        <is>
          <t>LL-00119</t>
        </is>
      </c>
      <c r="B120" s="10" t="n">
        <v>46380</v>
      </c>
      <c r="C120" t="inlineStr">
        <is>
          <t>Dec</t>
        </is>
      </c>
      <c r="D120" t="inlineStr">
        <is>
          <t>South</t>
        </is>
      </c>
      <c r="E120" t="inlineStr">
        <is>
          <t>Online</t>
        </is>
      </c>
      <c r="F120" t="inlineStr">
        <is>
          <t>Aurora Desk Lamp</t>
        </is>
      </c>
      <c r="G120" t="inlineStr">
        <is>
          <t>Lighting</t>
        </is>
      </c>
      <c r="H120" t="n">
        <v>4</v>
      </c>
      <c r="I120" s="11" t="n">
        <v>89</v>
      </c>
      <c r="J120" s="12" t="n">
        <v>0.05</v>
      </c>
      <c r="K120" s="11">
        <f>H120*I120*(1-J120)</f>
        <v/>
      </c>
      <c r="L120" s="11" t="n">
        <v>42</v>
      </c>
      <c r="M120" s="11">
        <f>K120-(H120*L120)</f>
        <v/>
      </c>
      <c r="N120" s="11">
        <f>H120*11</f>
        <v/>
      </c>
    </row>
    <row r="121">
      <c r="A121" t="inlineStr">
        <is>
          <t>LL-00120</t>
        </is>
      </c>
      <c r="B121" s="10" t="n">
        <v>46316</v>
      </c>
      <c r="C121" t="inlineStr">
        <is>
          <t>Oct</t>
        </is>
      </c>
      <c r="D121" t="inlineStr">
        <is>
          <t>West</t>
        </is>
      </c>
      <c r="E121" t="inlineStr">
        <is>
          <t>Retail</t>
        </is>
      </c>
      <c r="F121" t="inlineStr">
        <is>
          <t>Nest Basket</t>
        </is>
      </c>
      <c r="G121" t="inlineStr">
        <is>
          <t>Living</t>
        </is>
      </c>
      <c r="H121" t="n">
        <v>8</v>
      </c>
      <c r="I121" s="11" t="n">
        <v>55</v>
      </c>
      <c r="J121" s="12" t="n">
        <v>0.2</v>
      </c>
      <c r="K121" s="11">
        <f>H121*I121*(1-J121)</f>
        <v/>
      </c>
      <c r="L121" s="11" t="n">
        <v>24</v>
      </c>
      <c r="M121" s="11">
        <f>K121-(H121*L121)</f>
        <v/>
      </c>
      <c r="N121" s="11">
        <f>H121*6</f>
        <v/>
      </c>
    </row>
    <row r="122">
      <c r="A122" t="inlineStr">
        <is>
          <t>LL-00121</t>
        </is>
      </c>
      <c r="B122" s="10" t="n">
        <v>46069</v>
      </c>
      <c r="C122" t="inlineStr">
        <is>
          <t>Feb</t>
        </is>
      </c>
      <c r="D122" t="inlineStr">
        <is>
          <t>North</t>
        </is>
      </c>
      <c r="E122" t="inlineStr">
        <is>
          <t>Online</t>
        </is>
      </c>
      <c r="F122" t="inlineStr">
        <is>
          <t>Aurora Desk Lamp</t>
        </is>
      </c>
      <c r="G122" t="inlineStr">
        <is>
          <t>Lighting</t>
        </is>
      </c>
      <c r="H122" t="n">
        <v>4</v>
      </c>
      <c r="I122" s="11" t="n">
        <v>89</v>
      </c>
      <c r="J122" s="12" t="n">
        <v>0.05</v>
      </c>
      <c r="K122" s="11">
        <f>H122*I122*(1-J122)</f>
        <v/>
      </c>
      <c r="L122" s="11" t="n">
        <v>42</v>
      </c>
      <c r="M122" s="11">
        <f>K122-(H122*L122)</f>
        <v/>
      </c>
      <c r="N122" s="11">
        <f>H122*11</f>
        <v/>
      </c>
    </row>
    <row r="123">
      <c r="A123" t="inlineStr">
        <is>
          <t>LL-00122</t>
        </is>
      </c>
      <c r="B123" s="10" t="n">
        <v>46070</v>
      </c>
      <c r="C123" t="inlineStr">
        <is>
          <t>Feb</t>
        </is>
      </c>
      <c r="D123" t="inlineStr">
        <is>
          <t>East</t>
        </is>
      </c>
      <c r="E123" t="inlineStr">
        <is>
          <t>Retail</t>
        </is>
      </c>
      <c r="F123" t="inlineStr">
        <is>
          <t>Nest Basket</t>
        </is>
      </c>
      <c r="G123" t="inlineStr">
        <is>
          <t>Living</t>
        </is>
      </c>
      <c r="H123" t="n">
        <v>1</v>
      </c>
      <c r="I123" s="11" t="n">
        <v>55</v>
      </c>
      <c r="J123" s="12" t="n">
        <v>0</v>
      </c>
      <c r="K123" s="11">
        <f>H123*I123*(1-J123)</f>
        <v/>
      </c>
      <c r="L123" s="11" t="n">
        <v>24</v>
      </c>
      <c r="M123" s="11">
        <f>K123-(H123*L123)</f>
        <v/>
      </c>
      <c r="N123" s="11">
        <f>H123*6</f>
        <v/>
      </c>
    </row>
    <row r="124">
      <c r="A124" t="inlineStr">
        <is>
          <t>LL-00123</t>
        </is>
      </c>
      <c r="B124" s="10" t="n">
        <v>46118</v>
      </c>
      <c r="C124" t="inlineStr">
        <is>
          <t>Apr</t>
        </is>
      </c>
      <c r="D124" t="inlineStr">
        <is>
          <t>East</t>
        </is>
      </c>
      <c r="E124" t="inlineStr">
        <is>
          <t>Marketplace</t>
        </is>
      </c>
      <c r="F124" t="inlineStr">
        <is>
          <t>Aurora Desk Lamp</t>
        </is>
      </c>
      <c r="G124" t="inlineStr">
        <is>
          <t>Lighting</t>
        </is>
      </c>
      <c r="H124" t="n">
        <v>5</v>
      </c>
      <c r="I124" s="11" t="n">
        <v>89</v>
      </c>
      <c r="J124" s="12" t="n">
        <v>0.05</v>
      </c>
      <c r="K124" s="11">
        <f>H124*I124*(1-J124)</f>
        <v/>
      </c>
      <c r="L124" s="11" t="n">
        <v>42</v>
      </c>
      <c r="M124" s="11">
        <f>K124-(H124*L124)</f>
        <v/>
      </c>
      <c r="N124" s="11">
        <f>H124*15</f>
        <v/>
      </c>
    </row>
    <row r="125">
      <c r="A125" t="inlineStr">
        <is>
          <t>LL-00124</t>
        </is>
      </c>
      <c r="B125" s="10" t="n">
        <v>46170</v>
      </c>
      <c r="C125" t="inlineStr">
        <is>
          <t>May</t>
        </is>
      </c>
      <c r="D125" t="inlineStr">
        <is>
          <t>East</t>
        </is>
      </c>
      <c r="E125" t="inlineStr">
        <is>
          <t>Retail</t>
        </is>
      </c>
      <c r="F125" t="inlineStr">
        <is>
          <t>Aurora Desk Lamp</t>
        </is>
      </c>
      <c r="G125" t="inlineStr">
        <is>
          <t>Lighting</t>
        </is>
      </c>
      <c r="H125" t="n">
        <v>2</v>
      </c>
      <c r="I125" s="11" t="n">
        <v>89</v>
      </c>
      <c r="J125" s="12" t="n">
        <v>0.05</v>
      </c>
      <c r="K125" s="11">
        <f>H125*I125*(1-J125)</f>
        <v/>
      </c>
      <c r="L125" s="11" t="n">
        <v>42</v>
      </c>
      <c r="M125" s="11">
        <f>K125-(H125*L125)</f>
        <v/>
      </c>
      <c r="N125" s="11">
        <f>H125*6</f>
        <v/>
      </c>
    </row>
    <row r="126">
      <c r="A126" t="inlineStr">
        <is>
          <t>LL-00125</t>
        </is>
      </c>
      <c r="B126" s="10" t="n">
        <v>46341</v>
      </c>
      <c r="C126" t="inlineStr">
        <is>
          <t>Nov</t>
        </is>
      </c>
      <c r="D126" t="inlineStr">
        <is>
          <t>East</t>
        </is>
      </c>
      <c r="E126" t="inlineStr">
        <is>
          <t>Retail</t>
        </is>
      </c>
      <c r="F126" t="inlineStr">
        <is>
          <t>Nest Basket</t>
        </is>
      </c>
      <c r="G126" t="inlineStr">
        <is>
          <t>Living</t>
        </is>
      </c>
      <c r="H126" t="n">
        <v>2</v>
      </c>
      <c r="I126" s="11" t="n">
        <v>55</v>
      </c>
      <c r="J126" s="12" t="n">
        <v>0.05</v>
      </c>
      <c r="K126" s="11">
        <f>H126*I126*(1-J126)</f>
        <v/>
      </c>
      <c r="L126" s="11" t="n">
        <v>24</v>
      </c>
      <c r="M126" s="11">
        <f>K126-(H126*L126)</f>
        <v/>
      </c>
      <c r="N126" s="11">
        <f>H126*6</f>
        <v/>
      </c>
    </row>
    <row r="127">
      <c r="A127" t="inlineStr">
        <is>
          <t>LL-00126</t>
        </is>
      </c>
      <c r="B127" s="10" t="n">
        <v>46286</v>
      </c>
      <c r="C127" t="inlineStr">
        <is>
          <t>Sep</t>
        </is>
      </c>
      <c r="D127" t="inlineStr">
        <is>
          <t>East</t>
        </is>
      </c>
      <c r="E127" t="inlineStr">
        <is>
          <t>Retail</t>
        </is>
      </c>
      <c r="F127" t="inlineStr">
        <is>
          <t>Nest Basket</t>
        </is>
      </c>
      <c r="G127" t="inlineStr">
        <is>
          <t>Living</t>
        </is>
      </c>
      <c r="H127" t="n">
        <v>1</v>
      </c>
      <c r="I127" s="11" t="n">
        <v>55</v>
      </c>
      <c r="J127" s="12" t="n">
        <v>0.1</v>
      </c>
      <c r="K127" s="11">
        <f>H127*I127*(1-J127)</f>
        <v/>
      </c>
      <c r="L127" s="11" t="n">
        <v>24</v>
      </c>
      <c r="M127" s="11">
        <f>K127-(H127*L127)</f>
        <v/>
      </c>
      <c r="N127" s="11">
        <f>H127*6</f>
        <v/>
      </c>
    </row>
    <row r="128">
      <c r="A128" t="inlineStr">
        <is>
          <t>LL-00127</t>
        </is>
      </c>
      <c r="B128" s="10" t="n">
        <v>46104</v>
      </c>
      <c r="C128" t="inlineStr">
        <is>
          <t>Mar</t>
        </is>
      </c>
      <c r="D128" t="inlineStr">
        <is>
          <t>West</t>
        </is>
      </c>
      <c r="E128" t="inlineStr">
        <is>
          <t>Online</t>
        </is>
      </c>
      <c r="F128" t="inlineStr">
        <is>
          <t>Arc Side Table</t>
        </is>
      </c>
      <c r="G128" t="inlineStr">
        <is>
          <t>Living</t>
        </is>
      </c>
      <c r="H128" t="n">
        <v>4</v>
      </c>
      <c r="I128" s="11" t="n">
        <v>139</v>
      </c>
      <c r="J128" s="12" t="n">
        <v>0</v>
      </c>
      <c r="K128" s="11">
        <f>H128*I128*(1-J128)</f>
        <v/>
      </c>
      <c r="L128" s="11" t="n">
        <v>72</v>
      </c>
      <c r="M128" s="11">
        <f>K128-(H128*L128)</f>
        <v/>
      </c>
      <c r="N128" s="11">
        <f>H128*11</f>
        <v/>
      </c>
    </row>
    <row r="129">
      <c r="A129" t="inlineStr">
        <is>
          <t>LL-00128</t>
        </is>
      </c>
      <c r="B129" s="10" t="n">
        <v>46339</v>
      </c>
      <c r="C129" t="inlineStr">
        <is>
          <t>Nov</t>
        </is>
      </c>
      <c r="D129" t="inlineStr">
        <is>
          <t>West</t>
        </is>
      </c>
      <c r="E129" t="inlineStr">
        <is>
          <t>Online</t>
        </is>
      </c>
      <c r="F129" t="inlineStr">
        <is>
          <t>Focus Monitor Stand</t>
        </is>
      </c>
      <c r="G129" t="inlineStr">
        <is>
          <t>Workspace</t>
        </is>
      </c>
      <c r="H129" t="n">
        <v>8</v>
      </c>
      <c r="I129" s="11" t="n">
        <v>79</v>
      </c>
      <c r="J129" s="12" t="n">
        <v>0</v>
      </c>
      <c r="K129" s="11">
        <f>H129*I129*(1-J129)</f>
        <v/>
      </c>
      <c r="L129" s="11" t="n">
        <v>36</v>
      </c>
      <c r="M129" s="11">
        <f>K129-(H129*L129)</f>
        <v/>
      </c>
      <c r="N129" s="11">
        <f>H129*11</f>
        <v/>
      </c>
    </row>
    <row r="130">
      <c r="A130" t="inlineStr">
        <is>
          <t>LL-00129</t>
        </is>
      </c>
      <c r="B130" s="10" t="n">
        <v>46301</v>
      </c>
      <c r="C130" t="inlineStr">
        <is>
          <t>Oct</t>
        </is>
      </c>
      <c r="D130" t="inlineStr">
        <is>
          <t>North</t>
        </is>
      </c>
      <c r="E130" t="inlineStr">
        <is>
          <t>Retail</t>
        </is>
      </c>
      <c r="F130" t="inlineStr">
        <is>
          <t>Focus Monitor Stand</t>
        </is>
      </c>
      <c r="G130" t="inlineStr">
        <is>
          <t>Workspace</t>
        </is>
      </c>
      <c r="H130" t="n">
        <v>1</v>
      </c>
      <c r="I130" s="11" t="n">
        <v>79</v>
      </c>
      <c r="J130" s="12" t="n">
        <v>0.1</v>
      </c>
      <c r="K130" s="11">
        <f>H130*I130*(1-J130)</f>
        <v/>
      </c>
      <c r="L130" s="11" t="n">
        <v>36</v>
      </c>
      <c r="M130" s="11">
        <f>K130-(H130*L130)</f>
        <v/>
      </c>
      <c r="N130" s="11">
        <f>H130*6</f>
        <v/>
      </c>
    </row>
    <row r="131">
      <c r="A131" t="inlineStr">
        <is>
          <t>LL-00130</t>
        </is>
      </c>
      <c r="B131" s="10" t="n">
        <v>46238</v>
      </c>
      <c r="C131" t="inlineStr">
        <is>
          <t>Aug</t>
        </is>
      </c>
      <c r="D131" t="inlineStr">
        <is>
          <t>North</t>
        </is>
      </c>
      <c r="E131" t="inlineStr">
        <is>
          <t>Online</t>
        </is>
      </c>
      <c r="F131" t="inlineStr">
        <is>
          <t>Luna Throw</t>
        </is>
      </c>
      <c r="G131" t="inlineStr">
        <is>
          <t>Living</t>
        </is>
      </c>
      <c r="H131" t="n">
        <v>7</v>
      </c>
      <c r="I131" s="11" t="n">
        <v>69</v>
      </c>
      <c r="J131" s="12" t="n">
        <v>0.15</v>
      </c>
      <c r="K131" s="11">
        <f>H131*I131*(1-J131)</f>
        <v/>
      </c>
      <c r="L131" s="11" t="n">
        <v>31</v>
      </c>
      <c r="M131" s="11">
        <f>K131-(H131*L131)</f>
        <v/>
      </c>
      <c r="N131" s="11">
        <f>H131*11</f>
        <v/>
      </c>
    </row>
    <row r="132">
      <c r="A132" t="inlineStr">
        <is>
          <t>LL-00131</t>
        </is>
      </c>
      <c r="B132" s="10" t="n">
        <v>46193</v>
      </c>
      <c r="C132" t="inlineStr">
        <is>
          <t>Jun</t>
        </is>
      </c>
      <c r="D132" t="inlineStr">
        <is>
          <t>South</t>
        </is>
      </c>
      <c r="E132" t="inlineStr">
        <is>
          <t>Retail</t>
        </is>
      </c>
      <c r="F132" t="inlineStr">
        <is>
          <t>Arc Side Table</t>
        </is>
      </c>
      <c r="G132" t="inlineStr">
        <is>
          <t>Living</t>
        </is>
      </c>
      <c r="H132" t="n">
        <v>4</v>
      </c>
      <c r="I132" s="11" t="n">
        <v>139</v>
      </c>
      <c r="J132" s="12" t="n">
        <v>0.05</v>
      </c>
      <c r="K132" s="11">
        <f>H132*I132*(1-J132)</f>
        <v/>
      </c>
      <c r="L132" s="11" t="n">
        <v>72</v>
      </c>
      <c r="M132" s="11">
        <f>K132-(H132*L132)</f>
        <v/>
      </c>
      <c r="N132" s="11">
        <f>H132*6</f>
        <v/>
      </c>
    </row>
    <row r="133">
      <c r="A133" t="inlineStr">
        <is>
          <t>LL-00132</t>
        </is>
      </c>
      <c r="B133" s="10" t="n">
        <v>46025</v>
      </c>
      <c r="C133" t="inlineStr">
        <is>
          <t>Jan</t>
        </is>
      </c>
      <c r="D133" t="inlineStr">
        <is>
          <t>South</t>
        </is>
      </c>
      <c r="E133" t="inlineStr">
        <is>
          <t>Retail</t>
        </is>
      </c>
      <c r="F133" t="inlineStr">
        <is>
          <t>Nest Basket</t>
        </is>
      </c>
      <c r="G133" t="inlineStr">
        <is>
          <t>Living</t>
        </is>
      </c>
      <c r="H133" t="n">
        <v>2</v>
      </c>
      <c r="I133" s="11" t="n">
        <v>55</v>
      </c>
      <c r="J133" s="12" t="n">
        <v>0.1</v>
      </c>
      <c r="K133" s="11">
        <f>H133*I133*(1-J133)</f>
        <v/>
      </c>
      <c r="L133" s="11" t="n">
        <v>24</v>
      </c>
      <c r="M133" s="11">
        <f>K133-(H133*L133)</f>
        <v/>
      </c>
      <c r="N133" s="11">
        <f>H133*6</f>
        <v/>
      </c>
    </row>
    <row r="134">
      <c r="A134" t="inlineStr">
        <is>
          <t>LL-00133</t>
        </is>
      </c>
      <c r="B134" s="10" t="n">
        <v>46176</v>
      </c>
      <c r="C134" t="inlineStr">
        <is>
          <t>Jun</t>
        </is>
      </c>
      <c r="D134" t="inlineStr">
        <is>
          <t>East</t>
        </is>
      </c>
      <c r="E134" t="inlineStr">
        <is>
          <t>Online</t>
        </is>
      </c>
      <c r="F134" t="inlineStr">
        <is>
          <t>Nest Basket</t>
        </is>
      </c>
      <c r="G134" t="inlineStr">
        <is>
          <t>Living</t>
        </is>
      </c>
      <c r="H134" t="n">
        <v>6</v>
      </c>
      <c r="I134" s="11" t="n">
        <v>55</v>
      </c>
      <c r="J134" s="12" t="n">
        <v>0.15</v>
      </c>
      <c r="K134" s="11">
        <f>H134*I134*(1-J134)</f>
        <v/>
      </c>
      <c r="L134" s="11" t="n">
        <v>24</v>
      </c>
      <c r="M134" s="11">
        <f>K134-(H134*L134)</f>
        <v/>
      </c>
      <c r="N134" s="11">
        <f>H134*11</f>
        <v/>
      </c>
    </row>
    <row r="135">
      <c r="A135" t="inlineStr">
        <is>
          <t>LL-00134</t>
        </is>
      </c>
      <c r="B135" s="10" t="n">
        <v>46100</v>
      </c>
      <c r="C135" t="inlineStr">
        <is>
          <t>Mar</t>
        </is>
      </c>
      <c r="D135" t="inlineStr">
        <is>
          <t>South</t>
        </is>
      </c>
      <c r="E135" t="inlineStr">
        <is>
          <t>Retail</t>
        </is>
      </c>
      <c r="F135" t="inlineStr">
        <is>
          <t>Aurora Desk Lamp</t>
        </is>
      </c>
      <c r="G135" t="inlineStr">
        <is>
          <t>Lighting</t>
        </is>
      </c>
      <c r="H135" t="n">
        <v>6</v>
      </c>
      <c r="I135" s="11" t="n">
        <v>89</v>
      </c>
      <c r="J135" s="12" t="n">
        <v>0.15</v>
      </c>
      <c r="K135" s="11">
        <f>H135*I135*(1-J135)</f>
        <v/>
      </c>
      <c r="L135" s="11" t="n">
        <v>42</v>
      </c>
      <c r="M135" s="11">
        <f>K135-(H135*L135)</f>
        <v/>
      </c>
      <c r="N135" s="11">
        <f>H135*6</f>
        <v/>
      </c>
    </row>
    <row r="136">
      <c r="A136" t="inlineStr">
        <is>
          <t>LL-00135</t>
        </is>
      </c>
      <c r="B136" s="10" t="n">
        <v>46087</v>
      </c>
      <c r="C136" t="inlineStr">
        <is>
          <t>Mar</t>
        </is>
      </c>
      <c r="D136" t="inlineStr">
        <is>
          <t>West</t>
        </is>
      </c>
      <c r="E136" t="inlineStr">
        <is>
          <t>Retail</t>
        </is>
      </c>
      <c r="F136" t="inlineStr">
        <is>
          <t>Luna Throw</t>
        </is>
      </c>
      <c r="G136" t="inlineStr">
        <is>
          <t>Living</t>
        </is>
      </c>
      <c r="H136" t="n">
        <v>1</v>
      </c>
      <c r="I136" s="11" t="n">
        <v>69</v>
      </c>
      <c r="J136" s="12" t="n">
        <v>0.15</v>
      </c>
      <c r="K136" s="11">
        <f>H136*I136*(1-J136)</f>
        <v/>
      </c>
      <c r="L136" s="11" t="n">
        <v>31</v>
      </c>
      <c r="M136" s="11">
        <f>K136-(H136*L136)</f>
        <v/>
      </c>
      <c r="N136" s="11">
        <f>H136*6</f>
        <v/>
      </c>
    </row>
    <row r="137">
      <c r="A137" t="inlineStr">
        <is>
          <t>LL-00136</t>
        </is>
      </c>
      <c r="B137" s="10" t="n">
        <v>46290</v>
      </c>
      <c r="C137" t="inlineStr">
        <is>
          <t>Sep</t>
        </is>
      </c>
      <c r="D137" t="inlineStr">
        <is>
          <t>South</t>
        </is>
      </c>
      <c r="E137" t="inlineStr">
        <is>
          <t>Marketplace</t>
        </is>
      </c>
      <c r="F137" t="inlineStr">
        <is>
          <t>Aurora Desk Lamp</t>
        </is>
      </c>
      <c r="G137" t="inlineStr">
        <is>
          <t>Lighting</t>
        </is>
      </c>
      <c r="H137" t="n">
        <v>8</v>
      </c>
      <c r="I137" s="11" t="n">
        <v>89</v>
      </c>
      <c r="J137" s="12" t="n">
        <v>0.15</v>
      </c>
      <c r="K137" s="11">
        <f>H137*I137*(1-J137)</f>
        <v/>
      </c>
      <c r="L137" s="11" t="n">
        <v>42</v>
      </c>
      <c r="M137" s="11">
        <f>K137-(H137*L137)</f>
        <v/>
      </c>
      <c r="N137" s="11">
        <f>H137*15</f>
        <v/>
      </c>
    </row>
    <row r="138">
      <c r="A138" t="inlineStr">
        <is>
          <t>LL-00137</t>
        </is>
      </c>
      <c r="B138" s="10" t="n">
        <v>46233</v>
      </c>
      <c r="C138" t="inlineStr">
        <is>
          <t>Jul</t>
        </is>
      </c>
      <c r="D138" t="inlineStr">
        <is>
          <t>South</t>
        </is>
      </c>
      <c r="E138" t="inlineStr">
        <is>
          <t>Retail</t>
        </is>
      </c>
      <c r="F138" t="inlineStr">
        <is>
          <t>Nest Basket</t>
        </is>
      </c>
      <c r="G138" t="inlineStr">
        <is>
          <t>Living</t>
        </is>
      </c>
      <c r="H138" t="n">
        <v>1</v>
      </c>
      <c r="I138" s="11" t="n">
        <v>55</v>
      </c>
      <c r="J138" s="12" t="n">
        <v>0.15</v>
      </c>
      <c r="K138" s="11">
        <f>H138*I138*(1-J138)</f>
        <v/>
      </c>
      <c r="L138" s="11" t="n">
        <v>24</v>
      </c>
      <c r="M138" s="11">
        <f>K138-(H138*L138)</f>
        <v/>
      </c>
      <c r="N138" s="11">
        <f>H138*6</f>
        <v/>
      </c>
    </row>
    <row r="139">
      <c r="A139" t="inlineStr">
        <is>
          <t>LL-00138</t>
        </is>
      </c>
      <c r="B139" s="10" t="n">
        <v>46356</v>
      </c>
      <c r="C139" t="inlineStr">
        <is>
          <t>Nov</t>
        </is>
      </c>
      <c r="D139" t="inlineStr">
        <is>
          <t>North</t>
        </is>
      </c>
      <c r="E139" t="inlineStr">
        <is>
          <t>Marketplace</t>
        </is>
      </c>
      <c r="F139" t="inlineStr">
        <is>
          <t>Aurora Desk Lamp</t>
        </is>
      </c>
      <c r="G139" t="inlineStr">
        <is>
          <t>Lighting</t>
        </is>
      </c>
      <c r="H139" t="n">
        <v>7</v>
      </c>
      <c r="I139" s="11" t="n">
        <v>89</v>
      </c>
      <c r="J139" s="12" t="n">
        <v>0.05</v>
      </c>
      <c r="K139" s="11">
        <f>H139*I139*(1-J139)</f>
        <v/>
      </c>
      <c r="L139" s="11" t="n">
        <v>42</v>
      </c>
      <c r="M139" s="11">
        <f>K139-(H139*L139)</f>
        <v/>
      </c>
      <c r="N139" s="11">
        <f>H139*15</f>
        <v/>
      </c>
    </row>
    <row r="140">
      <c r="A140" t="inlineStr">
        <is>
          <t>LL-00139</t>
        </is>
      </c>
      <c r="B140" s="10" t="n">
        <v>46079</v>
      </c>
      <c r="C140" t="inlineStr">
        <is>
          <t>Feb</t>
        </is>
      </c>
      <c r="D140" t="inlineStr">
        <is>
          <t>East</t>
        </is>
      </c>
      <c r="E140" t="inlineStr">
        <is>
          <t>Online</t>
        </is>
      </c>
      <c r="F140" t="inlineStr">
        <is>
          <t>Focus Monitor Stand</t>
        </is>
      </c>
      <c r="G140" t="inlineStr">
        <is>
          <t>Workspace</t>
        </is>
      </c>
      <c r="H140" t="n">
        <v>3</v>
      </c>
      <c r="I140" s="11" t="n">
        <v>79</v>
      </c>
      <c r="J140" s="12" t="n">
        <v>0.05</v>
      </c>
      <c r="K140" s="11">
        <f>H140*I140*(1-J140)</f>
        <v/>
      </c>
      <c r="L140" s="11" t="n">
        <v>36</v>
      </c>
      <c r="M140" s="11">
        <f>K140-(H140*L140)</f>
        <v/>
      </c>
      <c r="N140" s="11">
        <f>H140*11</f>
        <v/>
      </c>
    </row>
    <row r="141">
      <c r="A141" t="inlineStr">
        <is>
          <t>LL-00140</t>
        </is>
      </c>
      <c r="B141" s="10" t="n">
        <v>46220</v>
      </c>
      <c r="C141" t="inlineStr">
        <is>
          <t>Jul</t>
        </is>
      </c>
      <c r="D141" t="inlineStr">
        <is>
          <t>South</t>
        </is>
      </c>
      <c r="E141" t="inlineStr">
        <is>
          <t>Online</t>
        </is>
      </c>
      <c r="F141" t="inlineStr">
        <is>
          <t>Luna Throw</t>
        </is>
      </c>
      <c r="G141" t="inlineStr">
        <is>
          <t>Living</t>
        </is>
      </c>
      <c r="H141" t="n">
        <v>4</v>
      </c>
      <c r="I141" s="11" t="n">
        <v>69</v>
      </c>
      <c r="J141" s="12" t="n">
        <v>0.1</v>
      </c>
      <c r="K141" s="11">
        <f>H141*I141*(1-J141)</f>
        <v/>
      </c>
      <c r="L141" s="11" t="n">
        <v>31</v>
      </c>
      <c r="M141" s="11">
        <f>K141-(H141*L141)</f>
        <v/>
      </c>
      <c r="N141" s="11">
        <f>H141*11</f>
        <v/>
      </c>
    </row>
    <row r="142">
      <c r="A142" t="inlineStr">
        <is>
          <t>LL-00141</t>
        </is>
      </c>
      <c r="B142" s="10" t="n">
        <v>46115</v>
      </c>
      <c r="C142" t="inlineStr">
        <is>
          <t>Apr</t>
        </is>
      </c>
      <c r="D142" t="inlineStr">
        <is>
          <t>East</t>
        </is>
      </c>
      <c r="E142" t="inlineStr">
        <is>
          <t>Retail</t>
        </is>
      </c>
      <c r="F142" t="inlineStr">
        <is>
          <t>Focus Monitor Stand</t>
        </is>
      </c>
      <c r="G142" t="inlineStr">
        <is>
          <t>Workspace</t>
        </is>
      </c>
      <c r="H142" t="n">
        <v>6</v>
      </c>
      <c r="I142" s="11" t="n">
        <v>79</v>
      </c>
      <c r="J142" s="12" t="n">
        <v>0.1</v>
      </c>
      <c r="K142" s="11">
        <f>H142*I142*(1-J142)</f>
        <v/>
      </c>
      <c r="L142" s="11" t="n">
        <v>36</v>
      </c>
      <c r="M142" s="11">
        <f>K142-(H142*L142)</f>
        <v/>
      </c>
      <c r="N142" s="11">
        <f>H142*6</f>
        <v/>
      </c>
    </row>
    <row r="143">
      <c r="A143" t="inlineStr">
        <is>
          <t>LL-00142</t>
        </is>
      </c>
      <c r="B143" s="10" t="n">
        <v>46059</v>
      </c>
      <c r="C143" t="inlineStr">
        <is>
          <t>Feb</t>
        </is>
      </c>
      <c r="D143" t="inlineStr">
        <is>
          <t>East</t>
        </is>
      </c>
      <c r="E143" t="inlineStr">
        <is>
          <t>Online</t>
        </is>
      </c>
      <c r="F143" t="inlineStr">
        <is>
          <t>Aurora Desk Lamp</t>
        </is>
      </c>
      <c r="G143" t="inlineStr">
        <is>
          <t>Lighting</t>
        </is>
      </c>
      <c r="H143" t="n">
        <v>2</v>
      </c>
      <c r="I143" s="11" t="n">
        <v>89</v>
      </c>
      <c r="J143" s="12" t="n">
        <v>0.1</v>
      </c>
      <c r="K143" s="11">
        <f>H143*I143*(1-J143)</f>
        <v/>
      </c>
      <c r="L143" s="11" t="n">
        <v>42</v>
      </c>
      <c r="M143" s="11">
        <f>K143-(H143*L143)</f>
        <v/>
      </c>
      <c r="N143" s="11">
        <f>H143*11</f>
        <v/>
      </c>
    </row>
    <row r="144">
      <c r="A144" t="inlineStr">
        <is>
          <t>LL-00143</t>
        </is>
      </c>
      <c r="B144" s="10" t="n">
        <v>46171</v>
      </c>
      <c r="C144" t="inlineStr">
        <is>
          <t>May</t>
        </is>
      </c>
      <c r="D144" t="inlineStr">
        <is>
          <t>North</t>
        </is>
      </c>
      <c r="E144" t="inlineStr">
        <is>
          <t>Retail</t>
        </is>
      </c>
      <c r="F144" t="inlineStr">
        <is>
          <t>Arc Side Table</t>
        </is>
      </c>
      <c r="G144" t="inlineStr">
        <is>
          <t>Living</t>
        </is>
      </c>
      <c r="H144" t="n">
        <v>8</v>
      </c>
      <c r="I144" s="11" t="n">
        <v>139</v>
      </c>
      <c r="J144" s="12" t="n">
        <v>0</v>
      </c>
      <c r="K144" s="11">
        <f>H144*I144*(1-J144)</f>
        <v/>
      </c>
      <c r="L144" s="11" t="n">
        <v>72</v>
      </c>
      <c r="M144" s="11">
        <f>K144-(H144*L144)</f>
        <v/>
      </c>
      <c r="N144" s="11">
        <f>H144*6</f>
        <v/>
      </c>
    </row>
    <row r="145">
      <c r="A145" t="inlineStr">
        <is>
          <t>LL-00144</t>
        </is>
      </c>
      <c r="B145" s="10" t="n">
        <v>46211</v>
      </c>
      <c r="C145" t="inlineStr">
        <is>
          <t>Jul</t>
        </is>
      </c>
      <c r="D145" t="inlineStr">
        <is>
          <t>North</t>
        </is>
      </c>
      <c r="E145" t="inlineStr">
        <is>
          <t>Online</t>
        </is>
      </c>
      <c r="F145" t="inlineStr">
        <is>
          <t>Arc Side Table</t>
        </is>
      </c>
      <c r="G145" t="inlineStr">
        <is>
          <t>Living</t>
        </is>
      </c>
      <c r="H145" t="n">
        <v>3</v>
      </c>
      <c r="I145" s="11" t="n">
        <v>139</v>
      </c>
      <c r="J145" s="12" t="n">
        <v>0.05</v>
      </c>
      <c r="K145" s="11">
        <f>H145*I145*(1-J145)</f>
        <v/>
      </c>
      <c r="L145" s="11" t="n">
        <v>72</v>
      </c>
      <c r="M145" s="11">
        <f>K145-(H145*L145)</f>
        <v/>
      </c>
      <c r="N145" s="11">
        <f>H145*11</f>
        <v/>
      </c>
    </row>
    <row r="146">
      <c r="A146" t="inlineStr">
        <is>
          <t>LL-00145</t>
        </is>
      </c>
      <c r="B146" s="10" t="n">
        <v>46032</v>
      </c>
      <c r="C146" t="inlineStr">
        <is>
          <t>Jan</t>
        </is>
      </c>
      <c r="D146" t="inlineStr">
        <is>
          <t>South</t>
        </is>
      </c>
      <c r="E146" t="inlineStr">
        <is>
          <t>Retail</t>
        </is>
      </c>
      <c r="F146" t="inlineStr">
        <is>
          <t>Halo Floor Lamp</t>
        </is>
      </c>
      <c r="G146" t="inlineStr">
        <is>
          <t>Lighting</t>
        </is>
      </c>
      <c r="H146" t="n">
        <v>2</v>
      </c>
      <c r="I146" s="11" t="n">
        <v>159</v>
      </c>
      <c r="J146" s="12" t="n">
        <v>0</v>
      </c>
      <c r="K146" s="11">
        <f>H146*I146*(1-J146)</f>
        <v/>
      </c>
      <c r="L146" s="11" t="n">
        <v>79</v>
      </c>
      <c r="M146" s="11">
        <f>K146-(H146*L146)</f>
        <v/>
      </c>
      <c r="N146" s="11">
        <f>H146*6</f>
        <v/>
      </c>
    </row>
    <row r="147">
      <c r="A147" t="inlineStr">
        <is>
          <t>LL-00146</t>
        </is>
      </c>
      <c r="B147" s="10" t="n">
        <v>46353</v>
      </c>
      <c r="C147" t="inlineStr">
        <is>
          <t>Nov</t>
        </is>
      </c>
      <c r="D147" t="inlineStr">
        <is>
          <t>North</t>
        </is>
      </c>
      <c r="E147" t="inlineStr">
        <is>
          <t>Retail</t>
        </is>
      </c>
      <c r="F147" t="inlineStr">
        <is>
          <t>Nest Basket</t>
        </is>
      </c>
      <c r="G147" t="inlineStr">
        <is>
          <t>Living</t>
        </is>
      </c>
      <c r="H147" t="n">
        <v>5</v>
      </c>
      <c r="I147" s="11" t="n">
        <v>55</v>
      </c>
      <c r="J147" s="12" t="n">
        <v>0</v>
      </c>
      <c r="K147" s="11">
        <f>H147*I147*(1-J147)</f>
        <v/>
      </c>
      <c r="L147" s="11" t="n">
        <v>24</v>
      </c>
      <c r="M147" s="11">
        <f>K147-(H147*L147)</f>
        <v/>
      </c>
      <c r="N147" s="11">
        <f>H147*6</f>
        <v/>
      </c>
    </row>
    <row r="148">
      <c r="A148" t="inlineStr">
        <is>
          <t>LL-00147</t>
        </is>
      </c>
      <c r="B148" s="10" t="n">
        <v>46198</v>
      </c>
      <c r="C148" t="inlineStr">
        <is>
          <t>Jun</t>
        </is>
      </c>
      <c r="D148" t="inlineStr">
        <is>
          <t>South</t>
        </is>
      </c>
      <c r="E148" t="inlineStr">
        <is>
          <t>Marketplace</t>
        </is>
      </c>
      <c r="F148" t="inlineStr">
        <is>
          <t>Arc Side Table</t>
        </is>
      </c>
      <c r="G148" t="inlineStr">
        <is>
          <t>Living</t>
        </is>
      </c>
      <c r="H148" t="n">
        <v>7</v>
      </c>
      <c r="I148" s="11" t="n">
        <v>139</v>
      </c>
      <c r="J148" s="12" t="n">
        <v>0.05</v>
      </c>
      <c r="K148" s="11">
        <f>H148*I148*(1-J148)</f>
        <v/>
      </c>
      <c r="L148" s="11" t="n">
        <v>72</v>
      </c>
      <c r="M148" s="11">
        <f>K148-(H148*L148)</f>
        <v/>
      </c>
      <c r="N148" s="11">
        <f>H148*15</f>
        <v/>
      </c>
    </row>
    <row r="149">
      <c r="A149" t="inlineStr">
        <is>
          <t>LL-00148</t>
        </is>
      </c>
      <c r="B149" s="10" t="n">
        <v>46056</v>
      </c>
      <c r="C149" t="inlineStr">
        <is>
          <t>Feb</t>
        </is>
      </c>
      <c r="D149" t="inlineStr">
        <is>
          <t>East</t>
        </is>
      </c>
      <c r="E149" t="inlineStr">
        <is>
          <t>Online</t>
        </is>
      </c>
      <c r="F149" t="inlineStr">
        <is>
          <t>Aurora Desk Lamp</t>
        </is>
      </c>
      <c r="G149" t="inlineStr">
        <is>
          <t>Lighting</t>
        </is>
      </c>
      <c r="H149" t="n">
        <v>3</v>
      </c>
      <c r="I149" s="11" t="n">
        <v>89</v>
      </c>
      <c r="J149" s="12" t="n">
        <v>0.1</v>
      </c>
      <c r="K149" s="11">
        <f>H149*I149*(1-J149)</f>
        <v/>
      </c>
      <c r="L149" s="11" t="n">
        <v>42</v>
      </c>
      <c r="M149" s="11">
        <f>K149-(H149*L149)</f>
        <v/>
      </c>
      <c r="N149" s="11">
        <f>H149*11</f>
        <v/>
      </c>
    </row>
    <row r="150">
      <c r="A150" t="inlineStr">
        <is>
          <t>LL-00149</t>
        </is>
      </c>
      <c r="B150" s="10" t="n">
        <v>46068</v>
      </c>
      <c r="C150" t="inlineStr">
        <is>
          <t>Feb</t>
        </is>
      </c>
      <c r="D150" t="inlineStr">
        <is>
          <t>South</t>
        </is>
      </c>
      <c r="E150" t="inlineStr">
        <is>
          <t>Online</t>
        </is>
      </c>
      <c r="F150" t="inlineStr">
        <is>
          <t>Focus Monitor Stand</t>
        </is>
      </c>
      <c r="G150" t="inlineStr">
        <is>
          <t>Workspace</t>
        </is>
      </c>
      <c r="H150" t="n">
        <v>6</v>
      </c>
      <c r="I150" s="11" t="n">
        <v>79</v>
      </c>
      <c r="J150" s="12" t="n">
        <v>0</v>
      </c>
      <c r="K150" s="11">
        <f>H150*I150*(1-J150)</f>
        <v/>
      </c>
      <c r="L150" s="11" t="n">
        <v>36</v>
      </c>
      <c r="M150" s="11">
        <f>K150-(H150*L150)</f>
        <v/>
      </c>
      <c r="N150" s="11">
        <f>H150*11</f>
        <v/>
      </c>
    </row>
    <row r="151">
      <c r="A151" t="inlineStr">
        <is>
          <t>LL-00150</t>
        </is>
      </c>
      <c r="B151" s="10" t="n">
        <v>46211</v>
      </c>
      <c r="C151" t="inlineStr">
        <is>
          <t>Jul</t>
        </is>
      </c>
      <c r="D151" t="inlineStr">
        <is>
          <t>North</t>
        </is>
      </c>
      <c r="E151" t="inlineStr">
        <is>
          <t>Retail</t>
        </is>
      </c>
      <c r="F151" t="inlineStr">
        <is>
          <t>Aurora Desk Lamp</t>
        </is>
      </c>
      <c r="G151" t="inlineStr">
        <is>
          <t>Lighting</t>
        </is>
      </c>
      <c r="H151" t="n">
        <v>2</v>
      </c>
      <c r="I151" s="11" t="n">
        <v>89</v>
      </c>
      <c r="J151" s="12" t="n">
        <v>0</v>
      </c>
      <c r="K151" s="11">
        <f>H151*I151*(1-J151)</f>
        <v/>
      </c>
      <c r="L151" s="11" t="n">
        <v>42</v>
      </c>
      <c r="M151" s="11">
        <f>K151-(H151*L151)</f>
        <v/>
      </c>
      <c r="N151" s="11">
        <f>H151*6</f>
        <v/>
      </c>
    </row>
    <row r="152">
      <c r="A152" t="inlineStr">
        <is>
          <t>LL-00151</t>
        </is>
      </c>
      <c r="B152" s="10" t="n">
        <v>46324</v>
      </c>
      <c r="C152" t="inlineStr">
        <is>
          <t>Oct</t>
        </is>
      </c>
      <c r="D152" t="inlineStr">
        <is>
          <t>West</t>
        </is>
      </c>
      <c r="E152" t="inlineStr">
        <is>
          <t>Retail</t>
        </is>
      </c>
      <c r="F152" t="inlineStr">
        <is>
          <t>Aurora Desk Lamp</t>
        </is>
      </c>
      <c r="G152" t="inlineStr">
        <is>
          <t>Lighting</t>
        </is>
      </c>
      <c r="H152" t="n">
        <v>4</v>
      </c>
      <c r="I152" s="11" t="n">
        <v>89</v>
      </c>
      <c r="J152" s="12" t="n">
        <v>0.15</v>
      </c>
      <c r="K152" s="11">
        <f>H152*I152*(1-J152)</f>
        <v/>
      </c>
      <c r="L152" s="11" t="n">
        <v>42</v>
      </c>
      <c r="M152" s="11">
        <f>K152-(H152*L152)</f>
        <v/>
      </c>
      <c r="N152" s="11">
        <f>H152*6</f>
        <v/>
      </c>
    </row>
    <row r="153">
      <c r="A153" t="inlineStr">
        <is>
          <t>LL-00152</t>
        </is>
      </c>
      <c r="B153" s="10" t="n">
        <v>46233</v>
      </c>
      <c r="C153" t="inlineStr">
        <is>
          <t>Jul</t>
        </is>
      </c>
      <c r="D153" t="inlineStr">
        <is>
          <t>North</t>
        </is>
      </c>
      <c r="E153" t="inlineStr">
        <is>
          <t>Retail</t>
        </is>
      </c>
      <c r="F153" t="inlineStr">
        <is>
          <t>Focus Monitor Stand</t>
        </is>
      </c>
      <c r="G153" t="inlineStr">
        <is>
          <t>Workspace</t>
        </is>
      </c>
      <c r="H153" t="n">
        <v>8</v>
      </c>
      <c r="I153" s="11" t="n">
        <v>79</v>
      </c>
      <c r="J153" s="12" t="n">
        <v>0.05</v>
      </c>
      <c r="K153" s="11">
        <f>H153*I153*(1-J153)</f>
        <v/>
      </c>
      <c r="L153" s="11" t="n">
        <v>36</v>
      </c>
      <c r="M153" s="11">
        <f>K153-(H153*L153)</f>
        <v/>
      </c>
      <c r="N153" s="11">
        <f>H153*6</f>
        <v/>
      </c>
    </row>
    <row r="154">
      <c r="A154" t="inlineStr">
        <is>
          <t>LL-00153</t>
        </is>
      </c>
      <c r="B154" s="10" t="n">
        <v>46167</v>
      </c>
      <c r="C154" t="inlineStr">
        <is>
          <t>May</t>
        </is>
      </c>
      <c r="D154" t="inlineStr">
        <is>
          <t>South</t>
        </is>
      </c>
      <c r="E154" t="inlineStr">
        <is>
          <t>Marketplace</t>
        </is>
      </c>
      <c r="F154" t="inlineStr">
        <is>
          <t>Focus Monitor Stand</t>
        </is>
      </c>
      <c r="G154" t="inlineStr">
        <is>
          <t>Workspace</t>
        </is>
      </c>
      <c r="H154" t="n">
        <v>7</v>
      </c>
      <c r="I154" s="11" t="n">
        <v>79</v>
      </c>
      <c r="J154" s="12" t="n">
        <v>0.15</v>
      </c>
      <c r="K154" s="11">
        <f>H154*I154*(1-J154)</f>
        <v/>
      </c>
      <c r="L154" s="11" t="n">
        <v>36</v>
      </c>
      <c r="M154" s="11">
        <f>K154-(H154*L154)</f>
        <v/>
      </c>
      <c r="N154" s="11">
        <f>H154*15</f>
        <v/>
      </c>
    </row>
    <row r="155">
      <c r="A155" t="inlineStr">
        <is>
          <t>LL-00154</t>
        </is>
      </c>
      <c r="B155" s="10" t="n">
        <v>46185</v>
      </c>
      <c r="C155" t="inlineStr">
        <is>
          <t>Jun</t>
        </is>
      </c>
      <c r="D155" t="inlineStr">
        <is>
          <t>East</t>
        </is>
      </c>
      <c r="E155" t="inlineStr">
        <is>
          <t>Retail</t>
        </is>
      </c>
      <c r="F155" t="inlineStr">
        <is>
          <t>Nest Basket</t>
        </is>
      </c>
      <c r="G155" t="inlineStr">
        <is>
          <t>Living</t>
        </is>
      </c>
      <c r="H155" t="n">
        <v>6</v>
      </c>
      <c r="I155" s="11" t="n">
        <v>55</v>
      </c>
      <c r="J155" s="12" t="n">
        <v>0</v>
      </c>
      <c r="K155" s="11">
        <f>H155*I155*(1-J155)</f>
        <v/>
      </c>
      <c r="L155" s="11" t="n">
        <v>24</v>
      </c>
      <c r="M155" s="11">
        <f>K155-(H155*L155)</f>
        <v/>
      </c>
      <c r="N155" s="11">
        <f>H155*6</f>
        <v/>
      </c>
    </row>
    <row r="156">
      <c r="A156" t="inlineStr">
        <is>
          <t>LL-00155</t>
        </is>
      </c>
      <c r="B156" s="10" t="n">
        <v>46149</v>
      </c>
      <c r="C156" t="inlineStr">
        <is>
          <t>May</t>
        </is>
      </c>
      <c r="D156" t="inlineStr">
        <is>
          <t>North</t>
        </is>
      </c>
      <c r="E156" t="inlineStr">
        <is>
          <t>Online</t>
        </is>
      </c>
      <c r="F156" t="inlineStr">
        <is>
          <t>Focus Monitor Stand</t>
        </is>
      </c>
      <c r="G156" t="inlineStr">
        <is>
          <t>Workspace</t>
        </is>
      </c>
      <c r="H156" t="n">
        <v>7</v>
      </c>
      <c r="I156" s="11" t="n">
        <v>79</v>
      </c>
      <c r="J156" s="12" t="n">
        <v>0.05</v>
      </c>
      <c r="K156" s="11">
        <f>H156*I156*(1-J156)</f>
        <v/>
      </c>
      <c r="L156" s="11" t="n">
        <v>36</v>
      </c>
      <c r="M156" s="11">
        <f>K156-(H156*L156)</f>
        <v/>
      </c>
      <c r="N156" s="11">
        <f>H156*11</f>
        <v/>
      </c>
    </row>
    <row r="157">
      <c r="A157" t="inlineStr">
        <is>
          <t>LL-00156</t>
        </is>
      </c>
      <c r="B157" s="10" t="n">
        <v>46355</v>
      </c>
      <c r="C157" t="inlineStr">
        <is>
          <t>Nov</t>
        </is>
      </c>
      <c r="D157" t="inlineStr">
        <is>
          <t>West</t>
        </is>
      </c>
      <c r="E157" t="inlineStr">
        <is>
          <t>Online</t>
        </is>
      </c>
      <c r="F157" t="inlineStr">
        <is>
          <t>Arc Side Table</t>
        </is>
      </c>
      <c r="G157" t="inlineStr">
        <is>
          <t>Living</t>
        </is>
      </c>
      <c r="H157" t="n">
        <v>5</v>
      </c>
      <c r="I157" s="11" t="n">
        <v>139</v>
      </c>
      <c r="J157" s="12" t="n">
        <v>0.1</v>
      </c>
      <c r="K157" s="11">
        <f>H157*I157*(1-J157)</f>
        <v/>
      </c>
      <c r="L157" s="11" t="n">
        <v>72</v>
      </c>
      <c r="M157" s="11">
        <f>K157-(H157*L157)</f>
        <v/>
      </c>
      <c r="N157" s="11">
        <f>H157*11</f>
        <v/>
      </c>
    </row>
    <row r="158">
      <c r="A158" t="inlineStr">
        <is>
          <t>LL-00157</t>
        </is>
      </c>
      <c r="B158" s="10" t="n">
        <v>46148</v>
      </c>
      <c r="C158" t="inlineStr">
        <is>
          <t>May</t>
        </is>
      </c>
      <c r="D158" t="inlineStr">
        <is>
          <t>South</t>
        </is>
      </c>
      <c r="E158" t="inlineStr">
        <is>
          <t>Marketplace</t>
        </is>
      </c>
      <c r="F158" t="inlineStr">
        <is>
          <t>Halo Floor Lamp</t>
        </is>
      </c>
      <c r="G158" t="inlineStr">
        <is>
          <t>Lighting</t>
        </is>
      </c>
      <c r="H158" t="n">
        <v>1</v>
      </c>
      <c r="I158" s="11" t="n">
        <v>159</v>
      </c>
      <c r="J158" s="12" t="n">
        <v>0.1</v>
      </c>
      <c r="K158" s="11">
        <f>H158*I158*(1-J158)</f>
        <v/>
      </c>
      <c r="L158" s="11" t="n">
        <v>79</v>
      </c>
      <c r="M158" s="11">
        <f>K158-(H158*L158)</f>
        <v/>
      </c>
      <c r="N158" s="11">
        <f>H158*15</f>
        <v/>
      </c>
    </row>
    <row r="159">
      <c r="A159" t="inlineStr">
        <is>
          <t>LL-00158</t>
        </is>
      </c>
      <c r="B159" s="10" t="n">
        <v>46128</v>
      </c>
      <c r="C159" t="inlineStr">
        <is>
          <t>Apr</t>
        </is>
      </c>
      <c r="D159" t="inlineStr">
        <is>
          <t>West</t>
        </is>
      </c>
      <c r="E159" t="inlineStr">
        <is>
          <t>Online</t>
        </is>
      </c>
      <c r="F159" t="inlineStr">
        <is>
          <t>Nest Basket</t>
        </is>
      </c>
      <c r="G159" t="inlineStr">
        <is>
          <t>Living</t>
        </is>
      </c>
      <c r="H159" t="n">
        <v>6</v>
      </c>
      <c r="I159" s="11" t="n">
        <v>55</v>
      </c>
      <c r="J159" s="12" t="n">
        <v>0.05</v>
      </c>
      <c r="K159" s="11">
        <f>H159*I159*(1-J159)</f>
        <v/>
      </c>
      <c r="L159" s="11" t="n">
        <v>24</v>
      </c>
      <c r="M159" s="11">
        <f>K159-(H159*L159)</f>
        <v/>
      </c>
      <c r="N159" s="11">
        <f>H159*11</f>
        <v/>
      </c>
    </row>
    <row r="160">
      <c r="A160" t="inlineStr">
        <is>
          <t>LL-00159</t>
        </is>
      </c>
      <c r="B160" s="10" t="n">
        <v>46130</v>
      </c>
      <c r="C160" t="inlineStr">
        <is>
          <t>Apr</t>
        </is>
      </c>
      <c r="D160" t="inlineStr">
        <is>
          <t>South</t>
        </is>
      </c>
      <c r="E160" t="inlineStr">
        <is>
          <t>Online</t>
        </is>
      </c>
      <c r="F160" t="inlineStr">
        <is>
          <t>Nest Basket</t>
        </is>
      </c>
      <c r="G160" t="inlineStr">
        <is>
          <t>Living</t>
        </is>
      </c>
      <c r="H160" t="n">
        <v>8</v>
      </c>
      <c r="I160" s="11" t="n">
        <v>55</v>
      </c>
      <c r="J160" s="12" t="n">
        <v>0.1</v>
      </c>
      <c r="K160" s="11">
        <f>H160*I160*(1-J160)</f>
        <v/>
      </c>
      <c r="L160" s="11" t="n">
        <v>24</v>
      </c>
      <c r="M160" s="11">
        <f>K160-(H160*L160)</f>
        <v/>
      </c>
      <c r="N160" s="11">
        <f>H160*11</f>
        <v/>
      </c>
    </row>
    <row r="161">
      <c r="A161" t="inlineStr">
        <is>
          <t>LL-00160</t>
        </is>
      </c>
      <c r="B161" s="10" t="n">
        <v>46298</v>
      </c>
      <c r="C161" t="inlineStr">
        <is>
          <t>Oct</t>
        </is>
      </c>
      <c r="D161" t="inlineStr">
        <is>
          <t>East</t>
        </is>
      </c>
      <c r="E161" t="inlineStr">
        <is>
          <t>Retail</t>
        </is>
      </c>
      <c r="F161" t="inlineStr">
        <is>
          <t>Focus Monitor Stand</t>
        </is>
      </c>
      <c r="G161" t="inlineStr">
        <is>
          <t>Workspace</t>
        </is>
      </c>
      <c r="H161" t="n">
        <v>5</v>
      </c>
      <c r="I161" s="11" t="n">
        <v>79</v>
      </c>
      <c r="J161" s="12" t="n">
        <v>0.15</v>
      </c>
      <c r="K161" s="11">
        <f>H161*I161*(1-J161)</f>
        <v/>
      </c>
      <c r="L161" s="11" t="n">
        <v>36</v>
      </c>
      <c r="M161" s="11">
        <f>K161-(H161*L161)</f>
        <v/>
      </c>
      <c r="N161" s="11">
        <f>H161*6</f>
        <v/>
      </c>
    </row>
    <row r="162">
      <c r="A162" t="inlineStr">
        <is>
          <t>LL-00161</t>
        </is>
      </c>
      <c r="B162" s="10" t="n">
        <v>46332</v>
      </c>
      <c r="C162" t="inlineStr">
        <is>
          <t>Nov</t>
        </is>
      </c>
      <c r="D162" t="inlineStr">
        <is>
          <t>South</t>
        </is>
      </c>
      <c r="E162" t="inlineStr">
        <is>
          <t>Marketplace</t>
        </is>
      </c>
      <c r="F162" t="inlineStr">
        <is>
          <t>Aurora Desk Lamp</t>
        </is>
      </c>
      <c r="G162" t="inlineStr">
        <is>
          <t>Lighting</t>
        </is>
      </c>
      <c r="H162" t="n">
        <v>2</v>
      </c>
      <c r="I162" s="11" t="n">
        <v>89</v>
      </c>
      <c r="J162" s="12" t="n">
        <v>0.2</v>
      </c>
      <c r="K162" s="11">
        <f>H162*I162*(1-J162)</f>
        <v/>
      </c>
      <c r="L162" s="11" t="n">
        <v>42</v>
      </c>
      <c r="M162" s="11">
        <f>K162-(H162*L162)</f>
        <v/>
      </c>
      <c r="N162" s="11">
        <f>H162*15</f>
        <v/>
      </c>
    </row>
    <row r="163">
      <c r="A163" t="inlineStr">
        <is>
          <t>LL-00162</t>
        </is>
      </c>
      <c r="B163" s="10" t="n">
        <v>46299</v>
      </c>
      <c r="C163" t="inlineStr">
        <is>
          <t>Oct</t>
        </is>
      </c>
      <c r="D163" t="inlineStr">
        <is>
          <t>North</t>
        </is>
      </c>
      <c r="E163" t="inlineStr">
        <is>
          <t>Online</t>
        </is>
      </c>
      <c r="F163" t="inlineStr">
        <is>
          <t>Aurora Desk Lamp</t>
        </is>
      </c>
      <c r="G163" t="inlineStr">
        <is>
          <t>Lighting</t>
        </is>
      </c>
      <c r="H163" t="n">
        <v>5</v>
      </c>
      <c r="I163" s="11" t="n">
        <v>89</v>
      </c>
      <c r="J163" s="12" t="n">
        <v>0.1</v>
      </c>
      <c r="K163" s="11">
        <f>H163*I163*(1-J163)</f>
        <v/>
      </c>
      <c r="L163" s="11" t="n">
        <v>42</v>
      </c>
      <c r="M163" s="11">
        <f>K163-(H163*L163)</f>
        <v/>
      </c>
      <c r="N163" s="11">
        <f>H163*11</f>
        <v/>
      </c>
    </row>
    <row r="164">
      <c r="A164" t="inlineStr">
        <is>
          <t>LL-00163</t>
        </is>
      </c>
      <c r="B164" s="10" t="n">
        <v>46099</v>
      </c>
      <c r="C164" t="inlineStr">
        <is>
          <t>Mar</t>
        </is>
      </c>
      <c r="D164" t="inlineStr">
        <is>
          <t>West</t>
        </is>
      </c>
      <c r="E164" t="inlineStr">
        <is>
          <t>Marketplace</t>
        </is>
      </c>
      <c r="F164" t="inlineStr">
        <is>
          <t>Aurora Desk Lamp</t>
        </is>
      </c>
      <c r="G164" t="inlineStr">
        <is>
          <t>Lighting</t>
        </is>
      </c>
      <c r="H164" t="n">
        <v>8</v>
      </c>
      <c r="I164" s="11" t="n">
        <v>89</v>
      </c>
      <c r="J164" s="12" t="n">
        <v>0.05</v>
      </c>
      <c r="K164" s="11">
        <f>H164*I164*(1-J164)</f>
        <v/>
      </c>
      <c r="L164" s="11" t="n">
        <v>42</v>
      </c>
      <c r="M164" s="11">
        <f>K164-(H164*L164)</f>
        <v/>
      </c>
      <c r="N164" s="11">
        <f>H164*15</f>
        <v/>
      </c>
    </row>
    <row r="165">
      <c r="A165" t="inlineStr">
        <is>
          <t>LL-00164</t>
        </is>
      </c>
      <c r="B165" s="10" t="n">
        <v>46090</v>
      </c>
      <c r="C165" t="inlineStr">
        <is>
          <t>Mar</t>
        </is>
      </c>
      <c r="D165" t="inlineStr">
        <is>
          <t>North</t>
        </is>
      </c>
      <c r="E165" t="inlineStr">
        <is>
          <t>Marketplace</t>
        </is>
      </c>
      <c r="F165" t="inlineStr">
        <is>
          <t>Focus Monitor Stand</t>
        </is>
      </c>
      <c r="G165" t="inlineStr">
        <is>
          <t>Workspace</t>
        </is>
      </c>
      <c r="H165" t="n">
        <v>2</v>
      </c>
      <c r="I165" s="11" t="n">
        <v>79</v>
      </c>
      <c r="J165" s="12" t="n">
        <v>0.1</v>
      </c>
      <c r="K165" s="11">
        <f>H165*I165*(1-J165)</f>
        <v/>
      </c>
      <c r="L165" s="11" t="n">
        <v>36</v>
      </c>
      <c r="M165" s="11">
        <f>K165-(H165*L165)</f>
        <v/>
      </c>
      <c r="N165" s="11">
        <f>H165*15</f>
        <v/>
      </c>
    </row>
    <row r="166">
      <c r="A166" t="inlineStr">
        <is>
          <t>LL-00165</t>
        </is>
      </c>
      <c r="B166" s="10" t="n">
        <v>46344</v>
      </c>
      <c r="C166" t="inlineStr">
        <is>
          <t>Nov</t>
        </is>
      </c>
      <c r="D166" t="inlineStr">
        <is>
          <t>North</t>
        </is>
      </c>
      <c r="E166" t="inlineStr">
        <is>
          <t>Retail</t>
        </is>
      </c>
      <c r="F166" t="inlineStr">
        <is>
          <t>Luna Throw</t>
        </is>
      </c>
      <c r="G166" t="inlineStr">
        <is>
          <t>Living</t>
        </is>
      </c>
      <c r="H166" t="n">
        <v>5</v>
      </c>
      <c r="I166" s="11" t="n">
        <v>69</v>
      </c>
      <c r="J166" s="12" t="n">
        <v>0.15</v>
      </c>
      <c r="K166" s="11">
        <f>H166*I166*(1-J166)</f>
        <v/>
      </c>
      <c r="L166" s="11" t="n">
        <v>31</v>
      </c>
      <c r="M166" s="11">
        <f>K166-(H166*L166)</f>
        <v/>
      </c>
      <c r="N166" s="11">
        <f>H166*6</f>
        <v/>
      </c>
    </row>
    <row r="167">
      <c r="A167" t="inlineStr">
        <is>
          <t>LL-00166</t>
        </is>
      </c>
      <c r="B167" s="10" t="n">
        <v>46387</v>
      </c>
      <c r="C167" t="inlineStr">
        <is>
          <t>Dec</t>
        </is>
      </c>
      <c r="D167" t="inlineStr">
        <is>
          <t>West</t>
        </is>
      </c>
      <c r="E167" t="inlineStr">
        <is>
          <t>Online</t>
        </is>
      </c>
      <c r="F167" t="inlineStr">
        <is>
          <t>Nest Basket</t>
        </is>
      </c>
      <c r="G167" t="inlineStr">
        <is>
          <t>Living</t>
        </is>
      </c>
      <c r="H167" t="n">
        <v>4</v>
      </c>
      <c r="I167" s="11" t="n">
        <v>55</v>
      </c>
      <c r="J167" s="12" t="n">
        <v>0.15</v>
      </c>
      <c r="K167" s="11">
        <f>H167*I167*(1-J167)</f>
        <v/>
      </c>
      <c r="L167" s="11" t="n">
        <v>24</v>
      </c>
      <c r="M167" s="11">
        <f>K167-(H167*L167)</f>
        <v/>
      </c>
      <c r="N167" s="11">
        <f>H167*11</f>
        <v/>
      </c>
    </row>
    <row r="168">
      <c r="A168" t="inlineStr">
        <is>
          <t>LL-00167</t>
        </is>
      </c>
      <c r="B168" s="10" t="n">
        <v>46157</v>
      </c>
      <c r="C168" t="inlineStr">
        <is>
          <t>May</t>
        </is>
      </c>
      <c r="D168" t="inlineStr">
        <is>
          <t>North</t>
        </is>
      </c>
      <c r="E168" t="inlineStr">
        <is>
          <t>Marketplace</t>
        </is>
      </c>
      <c r="F168" t="inlineStr">
        <is>
          <t>Focus Monitor Stand</t>
        </is>
      </c>
      <c r="G168" t="inlineStr">
        <is>
          <t>Workspace</t>
        </is>
      </c>
      <c r="H168" t="n">
        <v>8</v>
      </c>
      <c r="I168" s="11" t="n">
        <v>79</v>
      </c>
      <c r="J168" s="12" t="n">
        <v>0</v>
      </c>
      <c r="K168" s="11">
        <f>H168*I168*(1-J168)</f>
        <v/>
      </c>
      <c r="L168" s="11" t="n">
        <v>36</v>
      </c>
      <c r="M168" s="11">
        <f>K168-(H168*L168)</f>
        <v/>
      </c>
      <c r="N168" s="11">
        <f>H168*15</f>
        <v/>
      </c>
    </row>
    <row r="169">
      <c r="A169" t="inlineStr">
        <is>
          <t>LL-00168</t>
        </is>
      </c>
      <c r="B169" s="10" t="n">
        <v>46204</v>
      </c>
      <c r="C169" t="inlineStr">
        <is>
          <t>Jul</t>
        </is>
      </c>
      <c r="D169" t="inlineStr">
        <is>
          <t>West</t>
        </is>
      </c>
      <c r="E169" t="inlineStr">
        <is>
          <t>Marketplace</t>
        </is>
      </c>
      <c r="F169" t="inlineStr">
        <is>
          <t>Luna Throw</t>
        </is>
      </c>
      <c r="G169" t="inlineStr">
        <is>
          <t>Living</t>
        </is>
      </c>
      <c r="H169" t="n">
        <v>6</v>
      </c>
      <c r="I169" s="11" t="n">
        <v>69</v>
      </c>
      <c r="J169" s="12" t="n">
        <v>0.1</v>
      </c>
      <c r="K169" s="11">
        <f>H169*I169*(1-J169)</f>
        <v/>
      </c>
      <c r="L169" s="11" t="n">
        <v>31</v>
      </c>
      <c r="M169" s="11">
        <f>K169-(H169*L169)</f>
        <v/>
      </c>
      <c r="N169" s="11">
        <f>H169*15</f>
        <v/>
      </c>
    </row>
    <row r="170">
      <c r="A170" t="inlineStr">
        <is>
          <t>LL-00169</t>
        </is>
      </c>
      <c r="B170" s="10" t="n">
        <v>46359</v>
      </c>
      <c r="C170" t="inlineStr">
        <is>
          <t>Dec</t>
        </is>
      </c>
      <c r="D170" t="inlineStr">
        <is>
          <t>East</t>
        </is>
      </c>
      <c r="E170" t="inlineStr">
        <is>
          <t>Retail</t>
        </is>
      </c>
      <c r="F170" t="inlineStr">
        <is>
          <t>Focus Monitor Stand</t>
        </is>
      </c>
      <c r="G170" t="inlineStr">
        <is>
          <t>Workspace</t>
        </is>
      </c>
      <c r="H170" t="n">
        <v>7</v>
      </c>
      <c r="I170" s="11" t="n">
        <v>79</v>
      </c>
      <c r="J170" s="12" t="n">
        <v>0</v>
      </c>
      <c r="K170" s="11">
        <f>H170*I170*(1-J170)</f>
        <v/>
      </c>
      <c r="L170" s="11" t="n">
        <v>36</v>
      </c>
      <c r="M170" s="11">
        <f>K170-(H170*L170)</f>
        <v/>
      </c>
      <c r="N170" s="11">
        <f>H170*6</f>
        <v/>
      </c>
    </row>
    <row r="171">
      <c r="A171" t="inlineStr">
        <is>
          <t>LL-00170</t>
        </is>
      </c>
      <c r="B171" s="10" t="n">
        <v>46327</v>
      </c>
      <c r="C171" t="inlineStr">
        <is>
          <t>Nov</t>
        </is>
      </c>
      <c r="D171" t="inlineStr">
        <is>
          <t>North</t>
        </is>
      </c>
      <c r="E171" t="inlineStr">
        <is>
          <t>Marketplace</t>
        </is>
      </c>
      <c r="F171" t="inlineStr">
        <is>
          <t>Luna Throw</t>
        </is>
      </c>
      <c r="G171" t="inlineStr">
        <is>
          <t>Living</t>
        </is>
      </c>
      <c r="H171" t="n">
        <v>5</v>
      </c>
      <c r="I171" s="11" t="n">
        <v>69</v>
      </c>
      <c r="J171" s="12" t="n">
        <v>0.05</v>
      </c>
      <c r="K171" s="11">
        <f>H171*I171*(1-J171)</f>
        <v/>
      </c>
      <c r="L171" s="11" t="n">
        <v>31</v>
      </c>
      <c r="M171" s="11">
        <f>K171-(H171*L171)</f>
        <v/>
      </c>
      <c r="N171" s="11">
        <f>H171*15</f>
        <v/>
      </c>
    </row>
    <row r="172">
      <c r="A172" t="inlineStr">
        <is>
          <t>LL-00171</t>
        </is>
      </c>
      <c r="B172" s="10" t="n">
        <v>46195</v>
      </c>
      <c r="C172" t="inlineStr">
        <is>
          <t>Jun</t>
        </is>
      </c>
      <c r="D172" t="inlineStr">
        <is>
          <t>South</t>
        </is>
      </c>
      <c r="E172" t="inlineStr">
        <is>
          <t>Retail</t>
        </is>
      </c>
      <c r="F172" t="inlineStr">
        <is>
          <t>Nest Basket</t>
        </is>
      </c>
      <c r="G172" t="inlineStr">
        <is>
          <t>Living</t>
        </is>
      </c>
      <c r="H172" t="n">
        <v>1</v>
      </c>
      <c r="I172" s="11" t="n">
        <v>55</v>
      </c>
      <c r="J172" s="12" t="n">
        <v>0.05</v>
      </c>
      <c r="K172" s="11">
        <f>H172*I172*(1-J172)</f>
        <v/>
      </c>
      <c r="L172" s="11" t="n">
        <v>24</v>
      </c>
      <c r="M172" s="11">
        <f>K172-(H172*L172)</f>
        <v/>
      </c>
      <c r="N172" s="11">
        <f>H172*6</f>
        <v/>
      </c>
    </row>
    <row r="173">
      <c r="A173" t="inlineStr">
        <is>
          <t>LL-00172</t>
        </is>
      </c>
      <c r="B173" s="10" t="n">
        <v>46356</v>
      </c>
      <c r="C173" t="inlineStr">
        <is>
          <t>Nov</t>
        </is>
      </c>
      <c r="D173" t="inlineStr">
        <is>
          <t>North</t>
        </is>
      </c>
      <c r="E173" t="inlineStr">
        <is>
          <t>Retail</t>
        </is>
      </c>
      <c r="F173" t="inlineStr">
        <is>
          <t>Luna Throw</t>
        </is>
      </c>
      <c r="G173" t="inlineStr">
        <is>
          <t>Living</t>
        </is>
      </c>
      <c r="H173" t="n">
        <v>2</v>
      </c>
      <c r="I173" s="11" t="n">
        <v>69</v>
      </c>
      <c r="J173" s="12" t="n">
        <v>0.1</v>
      </c>
      <c r="K173" s="11">
        <f>H173*I173*(1-J173)</f>
        <v/>
      </c>
      <c r="L173" s="11" t="n">
        <v>31</v>
      </c>
      <c r="M173" s="11">
        <f>K173-(H173*L173)</f>
        <v/>
      </c>
      <c r="N173" s="11">
        <f>H173*6</f>
        <v/>
      </c>
    </row>
    <row r="174">
      <c r="A174" t="inlineStr">
        <is>
          <t>LL-00173</t>
        </is>
      </c>
      <c r="B174" s="10" t="n">
        <v>46300</v>
      </c>
      <c r="C174" t="inlineStr">
        <is>
          <t>Oct</t>
        </is>
      </c>
      <c r="D174" t="inlineStr">
        <is>
          <t>East</t>
        </is>
      </c>
      <c r="E174" t="inlineStr">
        <is>
          <t>Retail</t>
        </is>
      </c>
      <c r="F174" t="inlineStr">
        <is>
          <t>Aurora Desk Lamp</t>
        </is>
      </c>
      <c r="G174" t="inlineStr">
        <is>
          <t>Lighting</t>
        </is>
      </c>
      <c r="H174" t="n">
        <v>4</v>
      </c>
      <c r="I174" s="11" t="n">
        <v>89</v>
      </c>
      <c r="J174" s="12" t="n">
        <v>0.2</v>
      </c>
      <c r="K174" s="11">
        <f>H174*I174*(1-J174)</f>
        <v/>
      </c>
      <c r="L174" s="11" t="n">
        <v>42</v>
      </c>
      <c r="M174" s="11">
        <f>K174-(H174*L174)</f>
        <v/>
      </c>
      <c r="N174" s="11">
        <f>H174*6</f>
        <v/>
      </c>
    </row>
    <row r="175">
      <c r="A175" t="inlineStr">
        <is>
          <t>LL-00174</t>
        </is>
      </c>
      <c r="B175" s="10" t="n">
        <v>46341</v>
      </c>
      <c r="C175" t="inlineStr">
        <is>
          <t>Nov</t>
        </is>
      </c>
      <c r="D175" t="inlineStr">
        <is>
          <t>East</t>
        </is>
      </c>
      <c r="E175" t="inlineStr">
        <is>
          <t>Online</t>
        </is>
      </c>
      <c r="F175" t="inlineStr">
        <is>
          <t>Focus Monitor Stand</t>
        </is>
      </c>
      <c r="G175" t="inlineStr">
        <is>
          <t>Workspace</t>
        </is>
      </c>
      <c r="H175" t="n">
        <v>3</v>
      </c>
      <c r="I175" s="11" t="n">
        <v>79</v>
      </c>
      <c r="J175" s="12" t="n">
        <v>0.15</v>
      </c>
      <c r="K175" s="11">
        <f>H175*I175*(1-J175)</f>
        <v/>
      </c>
      <c r="L175" s="11" t="n">
        <v>36</v>
      </c>
      <c r="M175" s="11">
        <f>K175-(H175*L175)</f>
        <v/>
      </c>
      <c r="N175" s="11">
        <f>H175*11</f>
        <v/>
      </c>
    </row>
    <row r="176">
      <c r="A176" t="inlineStr">
        <is>
          <t>LL-00175</t>
        </is>
      </c>
      <c r="B176" s="10" t="n">
        <v>46224</v>
      </c>
      <c r="C176" t="inlineStr">
        <is>
          <t>Jul</t>
        </is>
      </c>
      <c r="D176" t="inlineStr">
        <is>
          <t>East</t>
        </is>
      </c>
      <c r="E176" t="inlineStr">
        <is>
          <t>Retail</t>
        </is>
      </c>
      <c r="F176" t="inlineStr">
        <is>
          <t>Luna Throw</t>
        </is>
      </c>
      <c r="G176" t="inlineStr">
        <is>
          <t>Living</t>
        </is>
      </c>
      <c r="H176" t="n">
        <v>7</v>
      </c>
      <c r="I176" s="11" t="n">
        <v>69</v>
      </c>
      <c r="J176" s="12" t="n">
        <v>0.15</v>
      </c>
      <c r="K176" s="11">
        <f>H176*I176*(1-J176)</f>
        <v/>
      </c>
      <c r="L176" s="11" t="n">
        <v>31</v>
      </c>
      <c r="M176" s="11">
        <f>K176-(H176*L176)</f>
        <v/>
      </c>
      <c r="N176" s="11">
        <f>H176*6</f>
        <v/>
      </c>
    </row>
    <row r="177">
      <c r="A177" t="inlineStr">
        <is>
          <t>LL-00176</t>
        </is>
      </c>
      <c r="B177" s="10" t="n">
        <v>46214</v>
      </c>
      <c r="C177" t="inlineStr">
        <is>
          <t>Jul</t>
        </is>
      </c>
      <c r="D177" t="inlineStr">
        <is>
          <t>South</t>
        </is>
      </c>
      <c r="E177" t="inlineStr">
        <is>
          <t>Marketplace</t>
        </is>
      </c>
      <c r="F177" t="inlineStr">
        <is>
          <t>Arc Side Table</t>
        </is>
      </c>
      <c r="G177" t="inlineStr">
        <is>
          <t>Living</t>
        </is>
      </c>
      <c r="H177" t="n">
        <v>3</v>
      </c>
      <c r="I177" s="11" t="n">
        <v>139</v>
      </c>
      <c r="J177" s="12" t="n">
        <v>0.05</v>
      </c>
      <c r="K177" s="11">
        <f>H177*I177*(1-J177)</f>
        <v/>
      </c>
      <c r="L177" s="11" t="n">
        <v>72</v>
      </c>
      <c r="M177" s="11">
        <f>K177-(H177*L177)</f>
        <v/>
      </c>
      <c r="N177" s="11">
        <f>H177*15</f>
        <v/>
      </c>
    </row>
    <row r="178">
      <c r="A178" t="inlineStr">
        <is>
          <t>LL-00177</t>
        </is>
      </c>
      <c r="B178" s="10" t="n">
        <v>46316</v>
      </c>
      <c r="C178" t="inlineStr">
        <is>
          <t>Oct</t>
        </is>
      </c>
      <c r="D178" t="inlineStr">
        <is>
          <t>South</t>
        </is>
      </c>
      <c r="E178" t="inlineStr">
        <is>
          <t>Marketplace</t>
        </is>
      </c>
      <c r="F178" t="inlineStr">
        <is>
          <t>Nest Basket</t>
        </is>
      </c>
      <c r="G178" t="inlineStr">
        <is>
          <t>Living</t>
        </is>
      </c>
      <c r="H178" t="n">
        <v>1</v>
      </c>
      <c r="I178" s="11" t="n">
        <v>55</v>
      </c>
      <c r="J178" s="12" t="n">
        <v>0.1</v>
      </c>
      <c r="K178" s="11">
        <f>H178*I178*(1-J178)</f>
        <v/>
      </c>
      <c r="L178" s="11" t="n">
        <v>24</v>
      </c>
      <c r="M178" s="11">
        <f>K178-(H178*L178)</f>
        <v/>
      </c>
      <c r="N178" s="11">
        <f>H178*15</f>
        <v/>
      </c>
    </row>
    <row r="179">
      <c r="A179" t="inlineStr">
        <is>
          <t>LL-00178</t>
        </is>
      </c>
      <c r="B179" s="10" t="n">
        <v>46104</v>
      </c>
      <c r="C179" t="inlineStr">
        <is>
          <t>Mar</t>
        </is>
      </c>
      <c r="D179" t="inlineStr">
        <is>
          <t>West</t>
        </is>
      </c>
      <c r="E179" t="inlineStr">
        <is>
          <t>Online</t>
        </is>
      </c>
      <c r="F179" t="inlineStr">
        <is>
          <t>Aurora Desk Lamp</t>
        </is>
      </c>
      <c r="G179" t="inlineStr">
        <is>
          <t>Lighting</t>
        </is>
      </c>
      <c r="H179" t="n">
        <v>3</v>
      </c>
      <c r="I179" s="11" t="n">
        <v>89</v>
      </c>
      <c r="J179" s="12" t="n">
        <v>0.15</v>
      </c>
      <c r="K179" s="11">
        <f>H179*I179*(1-J179)</f>
        <v/>
      </c>
      <c r="L179" s="11" t="n">
        <v>42</v>
      </c>
      <c r="M179" s="11">
        <f>K179-(H179*L179)</f>
        <v/>
      </c>
      <c r="N179" s="11">
        <f>H179*11</f>
        <v/>
      </c>
    </row>
    <row r="180">
      <c r="A180" t="inlineStr">
        <is>
          <t>LL-00179</t>
        </is>
      </c>
      <c r="B180" s="10" t="n">
        <v>46091</v>
      </c>
      <c r="C180" t="inlineStr">
        <is>
          <t>Mar</t>
        </is>
      </c>
      <c r="D180" t="inlineStr">
        <is>
          <t>North</t>
        </is>
      </c>
      <c r="E180" t="inlineStr">
        <is>
          <t>Retail</t>
        </is>
      </c>
      <c r="F180" t="inlineStr">
        <is>
          <t>Aurora Desk Lamp</t>
        </is>
      </c>
      <c r="G180" t="inlineStr">
        <is>
          <t>Lighting</t>
        </is>
      </c>
      <c r="H180" t="n">
        <v>2</v>
      </c>
      <c r="I180" s="11" t="n">
        <v>89</v>
      </c>
      <c r="J180" s="12" t="n">
        <v>0.1</v>
      </c>
      <c r="K180" s="11">
        <f>H180*I180*(1-J180)</f>
        <v/>
      </c>
      <c r="L180" s="11" t="n">
        <v>42</v>
      </c>
      <c r="M180" s="11">
        <f>K180-(H180*L180)</f>
        <v/>
      </c>
      <c r="N180" s="11">
        <f>H180*6</f>
        <v/>
      </c>
    </row>
    <row r="181">
      <c r="A181" t="inlineStr">
        <is>
          <t>LL-00180</t>
        </is>
      </c>
      <c r="B181" s="10" t="n">
        <v>46258</v>
      </c>
      <c r="C181" t="inlineStr">
        <is>
          <t>Aug</t>
        </is>
      </c>
      <c r="D181" t="inlineStr">
        <is>
          <t>East</t>
        </is>
      </c>
      <c r="E181" t="inlineStr">
        <is>
          <t>Retail</t>
        </is>
      </c>
      <c r="F181" t="inlineStr">
        <is>
          <t>Aurora Desk Lamp</t>
        </is>
      </c>
      <c r="G181" t="inlineStr">
        <is>
          <t>Lighting</t>
        </is>
      </c>
      <c r="H181" t="n">
        <v>4</v>
      </c>
      <c r="I181" s="11" t="n">
        <v>89</v>
      </c>
      <c r="J181" s="12" t="n">
        <v>0</v>
      </c>
      <c r="K181" s="11">
        <f>H181*I181*(1-J181)</f>
        <v/>
      </c>
      <c r="L181" s="11" t="n">
        <v>42</v>
      </c>
      <c r="M181" s="11">
        <f>K181-(H181*L181)</f>
        <v/>
      </c>
      <c r="N181" s="11">
        <f>H181*6</f>
        <v/>
      </c>
    </row>
    <row r="182">
      <c r="A182" t="inlineStr">
        <is>
          <t>LL-00181</t>
        </is>
      </c>
      <c r="B182" s="10" t="n">
        <v>46211</v>
      </c>
      <c r="C182" t="inlineStr">
        <is>
          <t>Jul</t>
        </is>
      </c>
      <c r="D182" t="inlineStr">
        <is>
          <t>North</t>
        </is>
      </c>
      <c r="E182" t="inlineStr">
        <is>
          <t>Retail</t>
        </is>
      </c>
      <c r="F182" t="inlineStr">
        <is>
          <t>Nest Basket</t>
        </is>
      </c>
      <c r="G182" t="inlineStr">
        <is>
          <t>Living</t>
        </is>
      </c>
      <c r="H182" t="n">
        <v>6</v>
      </c>
      <c r="I182" s="11" t="n">
        <v>55</v>
      </c>
      <c r="J182" s="12" t="n">
        <v>0.15</v>
      </c>
      <c r="K182" s="11">
        <f>H182*I182*(1-J182)</f>
        <v/>
      </c>
      <c r="L182" s="11" t="n">
        <v>24</v>
      </c>
      <c r="M182" s="11">
        <f>K182-(H182*L182)</f>
        <v/>
      </c>
      <c r="N182" s="11">
        <f>H182*6</f>
        <v/>
      </c>
    </row>
    <row r="183">
      <c r="A183" t="inlineStr">
        <is>
          <t>LL-00182</t>
        </is>
      </c>
      <c r="B183" s="10" t="n">
        <v>46248</v>
      </c>
      <c r="C183" t="inlineStr">
        <is>
          <t>Aug</t>
        </is>
      </c>
      <c r="D183" t="inlineStr">
        <is>
          <t>North</t>
        </is>
      </c>
      <c r="E183" t="inlineStr">
        <is>
          <t>Marketplace</t>
        </is>
      </c>
      <c r="F183" t="inlineStr">
        <is>
          <t>Halo Floor Lamp</t>
        </is>
      </c>
      <c r="G183" t="inlineStr">
        <is>
          <t>Lighting</t>
        </is>
      </c>
      <c r="H183" t="n">
        <v>6</v>
      </c>
      <c r="I183" s="11" t="n">
        <v>159</v>
      </c>
      <c r="J183" s="12" t="n">
        <v>0.15</v>
      </c>
      <c r="K183" s="11">
        <f>H183*I183*(1-J183)</f>
        <v/>
      </c>
      <c r="L183" s="11" t="n">
        <v>79</v>
      </c>
      <c r="M183" s="11">
        <f>K183-(H183*L183)</f>
        <v/>
      </c>
      <c r="N183" s="11">
        <f>H183*15</f>
        <v/>
      </c>
    </row>
    <row r="184">
      <c r="A184" t="inlineStr">
        <is>
          <t>LL-00183</t>
        </is>
      </c>
      <c r="B184" s="10" t="n">
        <v>46193</v>
      </c>
      <c r="C184" t="inlineStr">
        <is>
          <t>Jun</t>
        </is>
      </c>
      <c r="D184" t="inlineStr">
        <is>
          <t>East</t>
        </is>
      </c>
      <c r="E184" t="inlineStr">
        <is>
          <t>Marketplace</t>
        </is>
      </c>
      <c r="F184" t="inlineStr">
        <is>
          <t>Halo Floor Lamp</t>
        </is>
      </c>
      <c r="G184" t="inlineStr">
        <is>
          <t>Lighting</t>
        </is>
      </c>
      <c r="H184" t="n">
        <v>8</v>
      </c>
      <c r="I184" s="11" t="n">
        <v>159</v>
      </c>
      <c r="J184" s="12" t="n">
        <v>0.05</v>
      </c>
      <c r="K184" s="11">
        <f>H184*I184*(1-J184)</f>
        <v/>
      </c>
      <c r="L184" s="11" t="n">
        <v>79</v>
      </c>
      <c r="M184" s="11">
        <f>K184-(H184*L184)</f>
        <v/>
      </c>
      <c r="N184" s="11">
        <f>H184*15</f>
        <v/>
      </c>
    </row>
    <row r="185">
      <c r="A185" t="inlineStr">
        <is>
          <t>LL-00184</t>
        </is>
      </c>
      <c r="B185" s="10" t="n">
        <v>46329</v>
      </c>
      <c r="C185" t="inlineStr">
        <is>
          <t>Nov</t>
        </is>
      </c>
      <c r="D185" t="inlineStr">
        <is>
          <t>South</t>
        </is>
      </c>
      <c r="E185" t="inlineStr">
        <is>
          <t>Marketplace</t>
        </is>
      </c>
      <c r="F185" t="inlineStr">
        <is>
          <t>Arc Side Table</t>
        </is>
      </c>
      <c r="G185" t="inlineStr">
        <is>
          <t>Living</t>
        </is>
      </c>
      <c r="H185" t="n">
        <v>4</v>
      </c>
      <c r="I185" s="11" t="n">
        <v>139</v>
      </c>
      <c r="J185" s="12" t="n">
        <v>0.15</v>
      </c>
      <c r="K185" s="11">
        <f>H185*I185*(1-J185)</f>
        <v/>
      </c>
      <c r="L185" s="11" t="n">
        <v>72</v>
      </c>
      <c r="M185" s="11">
        <f>K185-(H185*L185)</f>
        <v/>
      </c>
      <c r="N185" s="11">
        <f>H185*15</f>
        <v/>
      </c>
    </row>
    <row r="186">
      <c r="A186" t="inlineStr">
        <is>
          <t>LL-00185</t>
        </is>
      </c>
      <c r="B186" s="10" t="n">
        <v>46075</v>
      </c>
      <c r="C186" t="inlineStr">
        <is>
          <t>Feb</t>
        </is>
      </c>
      <c r="D186" t="inlineStr">
        <is>
          <t>North</t>
        </is>
      </c>
      <c r="E186" t="inlineStr">
        <is>
          <t>Retail</t>
        </is>
      </c>
      <c r="F186" t="inlineStr">
        <is>
          <t>Halo Floor Lamp</t>
        </is>
      </c>
      <c r="G186" t="inlineStr">
        <is>
          <t>Lighting</t>
        </is>
      </c>
      <c r="H186" t="n">
        <v>3</v>
      </c>
      <c r="I186" s="11" t="n">
        <v>159</v>
      </c>
      <c r="J186" s="12" t="n">
        <v>0.15</v>
      </c>
      <c r="K186" s="11">
        <f>H186*I186*(1-J186)</f>
        <v/>
      </c>
      <c r="L186" s="11" t="n">
        <v>79</v>
      </c>
      <c r="M186" s="11">
        <f>K186-(H186*L186)</f>
        <v/>
      </c>
      <c r="N186" s="11">
        <f>H186*6</f>
        <v/>
      </c>
    </row>
    <row r="187">
      <c r="A187" t="inlineStr">
        <is>
          <t>LL-00186</t>
        </is>
      </c>
      <c r="B187" s="10" t="n">
        <v>46175</v>
      </c>
      <c r="C187" t="inlineStr">
        <is>
          <t>Jun</t>
        </is>
      </c>
      <c r="D187" t="inlineStr">
        <is>
          <t>East</t>
        </is>
      </c>
      <c r="E187" t="inlineStr">
        <is>
          <t>Online</t>
        </is>
      </c>
      <c r="F187" t="inlineStr">
        <is>
          <t>Focus Monitor Stand</t>
        </is>
      </c>
      <c r="G187" t="inlineStr">
        <is>
          <t>Workspace</t>
        </is>
      </c>
      <c r="H187" t="n">
        <v>2</v>
      </c>
      <c r="I187" s="11" t="n">
        <v>79</v>
      </c>
      <c r="J187" s="12" t="n">
        <v>0.1</v>
      </c>
      <c r="K187" s="11">
        <f>H187*I187*(1-J187)</f>
        <v/>
      </c>
      <c r="L187" s="11" t="n">
        <v>36</v>
      </c>
      <c r="M187" s="11">
        <f>K187-(H187*L187)</f>
        <v/>
      </c>
      <c r="N187" s="11">
        <f>H187*11</f>
        <v/>
      </c>
    </row>
    <row r="188">
      <c r="A188" t="inlineStr">
        <is>
          <t>LL-00187</t>
        </is>
      </c>
      <c r="B188" s="10" t="n">
        <v>46345</v>
      </c>
      <c r="C188" t="inlineStr">
        <is>
          <t>Nov</t>
        </is>
      </c>
      <c r="D188" t="inlineStr">
        <is>
          <t>North</t>
        </is>
      </c>
      <c r="E188" t="inlineStr">
        <is>
          <t>Retail</t>
        </is>
      </c>
      <c r="F188" t="inlineStr">
        <is>
          <t>Aurora Desk Lamp</t>
        </is>
      </c>
      <c r="G188" t="inlineStr">
        <is>
          <t>Lighting</t>
        </is>
      </c>
      <c r="H188" t="n">
        <v>8</v>
      </c>
      <c r="I188" s="11" t="n">
        <v>89</v>
      </c>
      <c r="J188" s="12" t="n">
        <v>0.05</v>
      </c>
      <c r="K188" s="11">
        <f>H188*I188*(1-J188)</f>
        <v/>
      </c>
      <c r="L188" s="11" t="n">
        <v>42</v>
      </c>
      <c r="M188" s="11">
        <f>K188-(H188*L188)</f>
        <v/>
      </c>
      <c r="N188" s="11">
        <f>H188*6</f>
        <v/>
      </c>
    </row>
    <row r="189">
      <c r="A189" t="inlineStr">
        <is>
          <t>LL-00188</t>
        </is>
      </c>
      <c r="B189" s="10" t="n">
        <v>46340</v>
      </c>
      <c r="C189" t="inlineStr">
        <is>
          <t>Nov</t>
        </is>
      </c>
      <c r="D189" t="inlineStr">
        <is>
          <t>East</t>
        </is>
      </c>
      <c r="E189" t="inlineStr">
        <is>
          <t>Marketplace</t>
        </is>
      </c>
      <c r="F189" t="inlineStr">
        <is>
          <t>Nest Basket</t>
        </is>
      </c>
      <c r="G189" t="inlineStr">
        <is>
          <t>Living</t>
        </is>
      </c>
      <c r="H189" t="n">
        <v>8</v>
      </c>
      <c r="I189" s="11" t="n">
        <v>55</v>
      </c>
      <c r="J189" s="12" t="n">
        <v>0.05</v>
      </c>
      <c r="K189" s="11">
        <f>H189*I189*(1-J189)</f>
        <v/>
      </c>
      <c r="L189" s="11" t="n">
        <v>24</v>
      </c>
      <c r="M189" s="11">
        <f>K189-(H189*L189)</f>
        <v/>
      </c>
      <c r="N189" s="11">
        <f>H189*15</f>
        <v/>
      </c>
    </row>
    <row r="190">
      <c r="A190" t="inlineStr">
        <is>
          <t>LL-00189</t>
        </is>
      </c>
      <c r="B190" s="10" t="n">
        <v>46111</v>
      </c>
      <c r="C190" t="inlineStr">
        <is>
          <t>Mar</t>
        </is>
      </c>
      <c r="D190" t="inlineStr">
        <is>
          <t>South</t>
        </is>
      </c>
      <c r="E190" t="inlineStr">
        <is>
          <t>Marketplace</t>
        </is>
      </c>
      <c r="F190" t="inlineStr">
        <is>
          <t>Halo Floor Lamp</t>
        </is>
      </c>
      <c r="G190" t="inlineStr">
        <is>
          <t>Lighting</t>
        </is>
      </c>
      <c r="H190" t="n">
        <v>8</v>
      </c>
      <c r="I190" s="11" t="n">
        <v>159</v>
      </c>
      <c r="J190" s="12" t="n">
        <v>0.1</v>
      </c>
      <c r="K190" s="11">
        <f>H190*I190*(1-J190)</f>
        <v/>
      </c>
      <c r="L190" s="11" t="n">
        <v>79</v>
      </c>
      <c r="M190" s="11">
        <f>K190-(H190*L190)</f>
        <v/>
      </c>
      <c r="N190" s="11">
        <f>H190*15</f>
        <v/>
      </c>
    </row>
    <row r="191">
      <c r="A191" t="inlineStr">
        <is>
          <t>LL-00190</t>
        </is>
      </c>
      <c r="B191" s="10" t="n">
        <v>46342</v>
      </c>
      <c r="C191" t="inlineStr">
        <is>
          <t>Nov</t>
        </is>
      </c>
      <c r="D191" t="inlineStr">
        <is>
          <t>East</t>
        </is>
      </c>
      <c r="E191" t="inlineStr">
        <is>
          <t>Retail</t>
        </is>
      </c>
      <c r="F191" t="inlineStr">
        <is>
          <t>Arc Side Table</t>
        </is>
      </c>
      <c r="G191" t="inlineStr">
        <is>
          <t>Living</t>
        </is>
      </c>
      <c r="H191" t="n">
        <v>1</v>
      </c>
      <c r="I191" s="11" t="n">
        <v>139</v>
      </c>
      <c r="J191" s="12" t="n">
        <v>0.05</v>
      </c>
      <c r="K191" s="11">
        <f>H191*I191*(1-J191)</f>
        <v/>
      </c>
      <c r="L191" s="11" t="n">
        <v>72</v>
      </c>
      <c r="M191" s="11">
        <f>K191-(H191*L191)</f>
        <v/>
      </c>
      <c r="N191" s="11">
        <f>H191*6</f>
        <v/>
      </c>
    </row>
    <row r="192">
      <c r="A192" t="inlineStr">
        <is>
          <t>LL-00191</t>
        </is>
      </c>
      <c r="B192" s="10" t="n">
        <v>46330</v>
      </c>
      <c r="C192" t="inlineStr">
        <is>
          <t>Nov</t>
        </is>
      </c>
      <c r="D192" t="inlineStr">
        <is>
          <t>West</t>
        </is>
      </c>
      <c r="E192" t="inlineStr">
        <is>
          <t>Retail</t>
        </is>
      </c>
      <c r="F192" t="inlineStr">
        <is>
          <t>Aurora Desk Lamp</t>
        </is>
      </c>
      <c r="G192" t="inlineStr">
        <is>
          <t>Lighting</t>
        </is>
      </c>
      <c r="H192" t="n">
        <v>7</v>
      </c>
      <c r="I192" s="11" t="n">
        <v>89</v>
      </c>
      <c r="J192" s="12" t="n">
        <v>0.05</v>
      </c>
      <c r="K192" s="11">
        <f>H192*I192*(1-J192)</f>
        <v/>
      </c>
      <c r="L192" s="11" t="n">
        <v>42</v>
      </c>
      <c r="M192" s="11">
        <f>K192-(H192*L192)</f>
        <v/>
      </c>
      <c r="N192" s="11">
        <f>H192*6</f>
        <v/>
      </c>
    </row>
    <row r="193">
      <c r="A193" t="inlineStr">
        <is>
          <t>LL-00192</t>
        </is>
      </c>
      <c r="B193" s="10" t="n">
        <v>46187</v>
      </c>
      <c r="C193" t="inlineStr">
        <is>
          <t>Jun</t>
        </is>
      </c>
      <c r="D193" t="inlineStr">
        <is>
          <t>West</t>
        </is>
      </c>
      <c r="E193" t="inlineStr">
        <is>
          <t>Online</t>
        </is>
      </c>
      <c r="F193" t="inlineStr">
        <is>
          <t>Luna Throw</t>
        </is>
      </c>
      <c r="G193" t="inlineStr">
        <is>
          <t>Living</t>
        </is>
      </c>
      <c r="H193" t="n">
        <v>5</v>
      </c>
      <c r="I193" s="11" t="n">
        <v>69</v>
      </c>
      <c r="J193" s="12" t="n">
        <v>0.15</v>
      </c>
      <c r="K193" s="11">
        <f>H193*I193*(1-J193)</f>
        <v/>
      </c>
      <c r="L193" s="11" t="n">
        <v>31</v>
      </c>
      <c r="M193" s="11">
        <f>K193-(H193*L193)</f>
        <v/>
      </c>
      <c r="N193" s="11">
        <f>H193*11</f>
        <v/>
      </c>
    </row>
    <row r="194">
      <c r="A194" t="inlineStr">
        <is>
          <t>LL-00193</t>
        </is>
      </c>
      <c r="B194" s="10" t="n">
        <v>46142</v>
      </c>
      <c r="C194" t="inlineStr">
        <is>
          <t>Apr</t>
        </is>
      </c>
      <c r="D194" t="inlineStr">
        <is>
          <t>West</t>
        </is>
      </c>
      <c r="E194" t="inlineStr">
        <is>
          <t>Online</t>
        </is>
      </c>
      <c r="F194" t="inlineStr">
        <is>
          <t>Luna Throw</t>
        </is>
      </c>
      <c r="G194" t="inlineStr">
        <is>
          <t>Living</t>
        </is>
      </c>
      <c r="H194" t="n">
        <v>1</v>
      </c>
      <c r="I194" s="11" t="n">
        <v>69</v>
      </c>
      <c r="J194" s="12" t="n">
        <v>0.1</v>
      </c>
      <c r="K194" s="11">
        <f>H194*I194*(1-J194)</f>
        <v/>
      </c>
      <c r="L194" s="11" t="n">
        <v>31</v>
      </c>
      <c r="M194" s="11">
        <f>K194-(H194*L194)</f>
        <v/>
      </c>
      <c r="N194" s="11">
        <f>H194*11</f>
        <v/>
      </c>
    </row>
    <row r="195">
      <c r="A195" t="inlineStr">
        <is>
          <t>LL-00194</t>
        </is>
      </c>
      <c r="B195" s="10" t="n">
        <v>46048</v>
      </c>
      <c r="C195" t="inlineStr">
        <is>
          <t>Jan</t>
        </is>
      </c>
      <c r="D195" t="inlineStr">
        <is>
          <t>North</t>
        </is>
      </c>
      <c r="E195" t="inlineStr">
        <is>
          <t>Marketplace</t>
        </is>
      </c>
      <c r="F195" t="inlineStr">
        <is>
          <t>Luna Throw</t>
        </is>
      </c>
      <c r="G195" t="inlineStr">
        <is>
          <t>Living</t>
        </is>
      </c>
      <c r="H195" t="n">
        <v>7</v>
      </c>
      <c r="I195" s="11" t="n">
        <v>69</v>
      </c>
      <c r="J195" s="12" t="n">
        <v>0.15</v>
      </c>
      <c r="K195" s="11">
        <f>H195*I195*(1-J195)</f>
        <v/>
      </c>
      <c r="L195" s="11" t="n">
        <v>31</v>
      </c>
      <c r="M195" s="11">
        <f>K195-(H195*L195)</f>
        <v/>
      </c>
      <c r="N195" s="11">
        <f>H195*15</f>
        <v/>
      </c>
    </row>
    <row r="196">
      <c r="A196" t="inlineStr">
        <is>
          <t>LL-00195</t>
        </is>
      </c>
      <c r="B196" s="10" t="n">
        <v>46240</v>
      </c>
      <c r="C196" t="inlineStr">
        <is>
          <t>Aug</t>
        </is>
      </c>
      <c r="D196" t="inlineStr">
        <is>
          <t>South</t>
        </is>
      </c>
      <c r="E196" t="inlineStr">
        <is>
          <t>Online</t>
        </is>
      </c>
      <c r="F196" t="inlineStr">
        <is>
          <t>Halo Floor Lamp</t>
        </is>
      </c>
      <c r="G196" t="inlineStr">
        <is>
          <t>Lighting</t>
        </is>
      </c>
      <c r="H196" t="n">
        <v>5</v>
      </c>
      <c r="I196" s="11" t="n">
        <v>159</v>
      </c>
      <c r="J196" s="12" t="n">
        <v>0.2</v>
      </c>
      <c r="K196" s="11">
        <f>H196*I196*(1-J196)</f>
        <v/>
      </c>
      <c r="L196" s="11" t="n">
        <v>79</v>
      </c>
      <c r="M196" s="11">
        <f>K196-(H196*L196)</f>
        <v/>
      </c>
      <c r="N196" s="11">
        <f>H196*11</f>
        <v/>
      </c>
    </row>
    <row r="197">
      <c r="A197" t="inlineStr">
        <is>
          <t>LL-00196</t>
        </is>
      </c>
      <c r="B197" s="10" t="n">
        <v>46226</v>
      </c>
      <c r="C197" t="inlineStr">
        <is>
          <t>Jul</t>
        </is>
      </c>
      <c r="D197" t="inlineStr">
        <is>
          <t>South</t>
        </is>
      </c>
      <c r="E197" t="inlineStr">
        <is>
          <t>Online</t>
        </is>
      </c>
      <c r="F197" t="inlineStr">
        <is>
          <t>Focus Monitor Stand</t>
        </is>
      </c>
      <c r="G197" t="inlineStr">
        <is>
          <t>Workspace</t>
        </is>
      </c>
      <c r="H197" t="n">
        <v>5</v>
      </c>
      <c r="I197" s="11" t="n">
        <v>79</v>
      </c>
      <c r="J197" s="12" t="n">
        <v>0.05</v>
      </c>
      <c r="K197" s="11">
        <f>H197*I197*(1-J197)</f>
        <v/>
      </c>
      <c r="L197" s="11" t="n">
        <v>36</v>
      </c>
      <c r="M197" s="11">
        <f>K197-(H197*L197)</f>
        <v/>
      </c>
      <c r="N197" s="11">
        <f>H197*11</f>
        <v/>
      </c>
    </row>
    <row r="198">
      <c r="A198" t="inlineStr">
        <is>
          <t>LL-00197</t>
        </is>
      </c>
      <c r="B198" s="10" t="n">
        <v>46046</v>
      </c>
      <c r="C198" t="inlineStr">
        <is>
          <t>Jan</t>
        </is>
      </c>
      <c r="D198" t="inlineStr">
        <is>
          <t>West</t>
        </is>
      </c>
      <c r="E198" t="inlineStr">
        <is>
          <t>Online</t>
        </is>
      </c>
      <c r="F198" t="inlineStr">
        <is>
          <t>Arc Side Table</t>
        </is>
      </c>
      <c r="G198" t="inlineStr">
        <is>
          <t>Living</t>
        </is>
      </c>
      <c r="H198" t="n">
        <v>8</v>
      </c>
      <c r="I198" s="11" t="n">
        <v>139</v>
      </c>
      <c r="J198" s="12" t="n">
        <v>0</v>
      </c>
      <c r="K198" s="11">
        <f>H198*I198*(1-J198)</f>
        <v/>
      </c>
      <c r="L198" s="11" t="n">
        <v>72</v>
      </c>
      <c r="M198" s="11">
        <f>K198-(H198*L198)</f>
        <v/>
      </c>
      <c r="N198" s="11">
        <f>H198*11</f>
        <v/>
      </c>
    </row>
    <row r="199">
      <c r="A199" t="inlineStr">
        <is>
          <t>LL-00198</t>
        </is>
      </c>
      <c r="B199" s="10" t="n">
        <v>46203</v>
      </c>
      <c r="C199" t="inlineStr">
        <is>
          <t>Jun</t>
        </is>
      </c>
      <c r="D199" t="inlineStr">
        <is>
          <t>South</t>
        </is>
      </c>
      <c r="E199" t="inlineStr">
        <is>
          <t>Marketplace</t>
        </is>
      </c>
      <c r="F199" t="inlineStr">
        <is>
          <t>Aurora Desk Lamp</t>
        </is>
      </c>
      <c r="G199" t="inlineStr">
        <is>
          <t>Lighting</t>
        </is>
      </c>
      <c r="H199" t="n">
        <v>8</v>
      </c>
      <c r="I199" s="11" t="n">
        <v>89</v>
      </c>
      <c r="J199" s="12" t="n">
        <v>0.15</v>
      </c>
      <c r="K199" s="11">
        <f>H199*I199*(1-J199)</f>
        <v/>
      </c>
      <c r="L199" s="11" t="n">
        <v>42</v>
      </c>
      <c r="M199" s="11">
        <f>K199-(H199*L199)</f>
        <v/>
      </c>
      <c r="N199" s="11">
        <f>H199*15</f>
        <v/>
      </c>
    </row>
    <row r="200">
      <c r="A200" t="inlineStr">
        <is>
          <t>LL-00199</t>
        </is>
      </c>
      <c r="B200" s="10" t="n">
        <v>46202</v>
      </c>
      <c r="C200" t="inlineStr">
        <is>
          <t>Jun</t>
        </is>
      </c>
      <c r="D200" t="inlineStr">
        <is>
          <t>North</t>
        </is>
      </c>
      <c r="E200" t="inlineStr">
        <is>
          <t>Online</t>
        </is>
      </c>
      <c r="F200" t="inlineStr">
        <is>
          <t>Halo Floor Lamp</t>
        </is>
      </c>
      <c r="G200" t="inlineStr">
        <is>
          <t>Lighting</t>
        </is>
      </c>
      <c r="H200" t="n">
        <v>1</v>
      </c>
      <c r="I200" s="11" t="n">
        <v>159</v>
      </c>
      <c r="J200" s="12" t="n">
        <v>0.15</v>
      </c>
      <c r="K200" s="11">
        <f>H200*I200*(1-J200)</f>
        <v/>
      </c>
      <c r="L200" s="11" t="n">
        <v>79</v>
      </c>
      <c r="M200" s="11">
        <f>K200-(H200*L200)</f>
        <v/>
      </c>
      <c r="N200" s="11">
        <f>H200*11</f>
        <v/>
      </c>
    </row>
    <row r="201">
      <c r="A201" t="inlineStr">
        <is>
          <t>LL-00200</t>
        </is>
      </c>
      <c r="B201" s="10" t="n">
        <v>46130</v>
      </c>
      <c r="C201" t="inlineStr">
        <is>
          <t>Apr</t>
        </is>
      </c>
      <c r="D201" t="inlineStr">
        <is>
          <t>North</t>
        </is>
      </c>
      <c r="E201" t="inlineStr">
        <is>
          <t>Online</t>
        </is>
      </c>
      <c r="F201" t="inlineStr">
        <is>
          <t>Halo Floor Lamp</t>
        </is>
      </c>
      <c r="G201" t="inlineStr">
        <is>
          <t>Lighting</t>
        </is>
      </c>
      <c r="H201" t="n">
        <v>2</v>
      </c>
      <c r="I201" s="11" t="n">
        <v>159</v>
      </c>
      <c r="J201" s="12" t="n">
        <v>0</v>
      </c>
      <c r="K201" s="11">
        <f>H201*I201*(1-J201)</f>
        <v/>
      </c>
      <c r="L201" s="11" t="n">
        <v>79</v>
      </c>
      <c r="M201" s="11">
        <f>K201-(H201*L201)</f>
        <v/>
      </c>
      <c r="N201" s="11">
        <f>H201*11</f>
        <v/>
      </c>
    </row>
    <row r="202">
      <c r="A202" t="inlineStr">
        <is>
          <t>LL-00201</t>
        </is>
      </c>
      <c r="B202" s="10" t="n">
        <v>46089</v>
      </c>
      <c r="C202" t="inlineStr">
        <is>
          <t>Mar</t>
        </is>
      </c>
      <c r="D202" t="inlineStr">
        <is>
          <t>North</t>
        </is>
      </c>
      <c r="E202" t="inlineStr">
        <is>
          <t>Online</t>
        </is>
      </c>
      <c r="F202" t="inlineStr">
        <is>
          <t>Focus Monitor Stand</t>
        </is>
      </c>
      <c r="G202" t="inlineStr">
        <is>
          <t>Workspace</t>
        </is>
      </c>
      <c r="H202" t="n">
        <v>4</v>
      </c>
      <c r="I202" s="11" t="n">
        <v>79</v>
      </c>
      <c r="J202" s="12" t="n">
        <v>0.15</v>
      </c>
      <c r="K202" s="11">
        <f>H202*I202*(1-J202)</f>
        <v/>
      </c>
      <c r="L202" s="11" t="n">
        <v>36</v>
      </c>
      <c r="M202" s="11">
        <f>K202-(H202*L202)</f>
        <v/>
      </c>
      <c r="N202" s="11">
        <f>H202*11</f>
        <v/>
      </c>
    </row>
    <row r="203">
      <c r="A203" t="inlineStr">
        <is>
          <t>LL-00202</t>
        </is>
      </c>
      <c r="B203" s="10" t="n">
        <v>46207</v>
      </c>
      <c r="C203" t="inlineStr">
        <is>
          <t>Jul</t>
        </is>
      </c>
      <c r="D203" t="inlineStr">
        <is>
          <t>South</t>
        </is>
      </c>
      <c r="E203" t="inlineStr">
        <is>
          <t>Online</t>
        </is>
      </c>
      <c r="F203" t="inlineStr">
        <is>
          <t>Aurora Desk Lamp</t>
        </is>
      </c>
      <c r="G203" t="inlineStr">
        <is>
          <t>Lighting</t>
        </is>
      </c>
      <c r="H203" t="n">
        <v>7</v>
      </c>
      <c r="I203" s="11" t="n">
        <v>89</v>
      </c>
      <c r="J203" s="12" t="n">
        <v>0.05</v>
      </c>
      <c r="K203" s="11">
        <f>H203*I203*(1-J203)</f>
        <v/>
      </c>
      <c r="L203" s="11" t="n">
        <v>42</v>
      </c>
      <c r="M203" s="11">
        <f>K203-(H203*L203)</f>
        <v/>
      </c>
      <c r="N203" s="11">
        <f>H203*11</f>
        <v/>
      </c>
    </row>
    <row r="204">
      <c r="A204" t="inlineStr">
        <is>
          <t>LL-00203</t>
        </is>
      </c>
      <c r="B204" s="10" t="n">
        <v>46239</v>
      </c>
      <c r="C204" t="inlineStr">
        <is>
          <t>Aug</t>
        </is>
      </c>
      <c r="D204" t="inlineStr">
        <is>
          <t>East</t>
        </is>
      </c>
      <c r="E204" t="inlineStr">
        <is>
          <t>Retail</t>
        </is>
      </c>
      <c r="F204" t="inlineStr">
        <is>
          <t>Aurora Desk Lamp</t>
        </is>
      </c>
      <c r="G204" t="inlineStr">
        <is>
          <t>Lighting</t>
        </is>
      </c>
      <c r="H204" t="n">
        <v>6</v>
      </c>
      <c r="I204" s="11" t="n">
        <v>89</v>
      </c>
      <c r="J204" s="12" t="n">
        <v>0.05</v>
      </c>
      <c r="K204" s="11">
        <f>H204*I204*(1-J204)</f>
        <v/>
      </c>
      <c r="L204" s="11" t="n">
        <v>42</v>
      </c>
      <c r="M204" s="11">
        <f>K204-(H204*L204)</f>
        <v/>
      </c>
      <c r="N204" s="11">
        <f>H204*6</f>
        <v/>
      </c>
    </row>
    <row r="205">
      <c r="A205" t="inlineStr">
        <is>
          <t>LL-00204</t>
        </is>
      </c>
      <c r="B205" s="10" t="n">
        <v>46098</v>
      </c>
      <c r="C205" t="inlineStr">
        <is>
          <t>Mar</t>
        </is>
      </c>
      <c r="D205" t="inlineStr">
        <is>
          <t>West</t>
        </is>
      </c>
      <c r="E205" t="inlineStr">
        <is>
          <t>Online</t>
        </is>
      </c>
      <c r="F205" t="inlineStr">
        <is>
          <t>Arc Side Table</t>
        </is>
      </c>
      <c r="G205" t="inlineStr">
        <is>
          <t>Living</t>
        </is>
      </c>
      <c r="H205" t="n">
        <v>8</v>
      </c>
      <c r="I205" s="11" t="n">
        <v>139</v>
      </c>
      <c r="J205" s="12" t="n">
        <v>0.05</v>
      </c>
      <c r="K205" s="11">
        <f>H205*I205*(1-J205)</f>
        <v/>
      </c>
      <c r="L205" s="11" t="n">
        <v>72</v>
      </c>
      <c r="M205" s="11">
        <f>K205-(H205*L205)</f>
        <v/>
      </c>
      <c r="N205" s="11">
        <f>H205*11</f>
        <v/>
      </c>
    </row>
    <row r="206">
      <c r="A206" t="inlineStr">
        <is>
          <t>LL-00205</t>
        </is>
      </c>
      <c r="B206" s="10" t="n">
        <v>46098</v>
      </c>
      <c r="C206" t="inlineStr">
        <is>
          <t>Mar</t>
        </is>
      </c>
      <c r="D206" t="inlineStr">
        <is>
          <t>North</t>
        </is>
      </c>
      <c r="E206" t="inlineStr">
        <is>
          <t>Marketplace</t>
        </is>
      </c>
      <c r="F206" t="inlineStr">
        <is>
          <t>Nest Basket</t>
        </is>
      </c>
      <c r="G206" t="inlineStr">
        <is>
          <t>Living</t>
        </is>
      </c>
      <c r="H206" t="n">
        <v>1</v>
      </c>
      <c r="I206" s="11" t="n">
        <v>55</v>
      </c>
      <c r="J206" s="12" t="n">
        <v>0</v>
      </c>
      <c r="K206" s="11">
        <f>H206*I206*(1-J206)</f>
        <v/>
      </c>
      <c r="L206" s="11" t="n">
        <v>24</v>
      </c>
      <c r="M206" s="11">
        <f>K206-(H206*L206)</f>
        <v/>
      </c>
      <c r="N206" s="11">
        <f>H206*15</f>
        <v/>
      </c>
    </row>
    <row r="207">
      <c r="A207" t="inlineStr">
        <is>
          <t>LL-00206</t>
        </is>
      </c>
      <c r="B207" s="10" t="n">
        <v>46275</v>
      </c>
      <c r="C207" t="inlineStr">
        <is>
          <t>Sep</t>
        </is>
      </c>
      <c r="D207" t="inlineStr">
        <is>
          <t>South</t>
        </is>
      </c>
      <c r="E207" t="inlineStr">
        <is>
          <t>Marketplace</t>
        </is>
      </c>
      <c r="F207" t="inlineStr">
        <is>
          <t>Halo Floor Lamp</t>
        </is>
      </c>
      <c r="G207" t="inlineStr">
        <is>
          <t>Lighting</t>
        </is>
      </c>
      <c r="H207" t="n">
        <v>3</v>
      </c>
      <c r="I207" s="11" t="n">
        <v>159</v>
      </c>
      <c r="J207" s="12" t="n">
        <v>0.1</v>
      </c>
      <c r="K207" s="11">
        <f>H207*I207*(1-J207)</f>
        <v/>
      </c>
      <c r="L207" s="11" t="n">
        <v>79</v>
      </c>
      <c r="M207" s="11">
        <f>K207-(H207*L207)</f>
        <v/>
      </c>
      <c r="N207" s="11">
        <f>H207*15</f>
        <v/>
      </c>
    </row>
    <row r="208">
      <c r="A208" t="inlineStr">
        <is>
          <t>LL-00207</t>
        </is>
      </c>
      <c r="B208" s="10" t="n">
        <v>46151</v>
      </c>
      <c r="C208" t="inlineStr">
        <is>
          <t>May</t>
        </is>
      </c>
      <c r="D208" t="inlineStr">
        <is>
          <t>South</t>
        </is>
      </c>
      <c r="E208" t="inlineStr">
        <is>
          <t>Online</t>
        </is>
      </c>
      <c r="F208" t="inlineStr">
        <is>
          <t>Arc Side Table</t>
        </is>
      </c>
      <c r="G208" t="inlineStr">
        <is>
          <t>Living</t>
        </is>
      </c>
      <c r="H208" t="n">
        <v>8</v>
      </c>
      <c r="I208" s="11" t="n">
        <v>139</v>
      </c>
      <c r="J208" s="12" t="n">
        <v>0.1</v>
      </c>
      <c r="K208" s="11">
        <f>H208*I208*(1-J208)</f>
        <v/>
      </c>
      <c r="L208" s="11" t="n">
        <v>72</v>
      </c>
      <c r="M208" s="11">
        <f>K208-(H208*L208)</f>
        <v/>
      </c>
      <c r="N208" s="11">
        <f>H208*11</f>
        <v/>
      </c>
    </row>
    <row r="209">
      <c r="A209" t="inlineStr">
        <is>
          <t>LL-00208</t>
        </is>
      </c>
      <c r="B209" s="10" t="n">
        <v>46136</v>
      </c>
      <c r="C209" t="inlineStr">
        <is>
          <t>Apr</t>
        </is>
      </c>
      <c r="D209" t="inlineStr">
        <is>
          <t>South</t>
        </is>
      </c>
      <c r="E209" t="inlineStr">
        <is>
          <t>Retail</t>
        </is>
      </c>
      <c r="F209" t="inlineStr">
        <is>
          <t>Aurora Desk Lamp</t>
        </is>
      </c>
      <c r="G209" t="inlineStr">
        <is>
          <t>Lighting</t>
        </is>
      </c>
      <c r="H209" t="n">
        <v>1</v>
      </c>
      <c r="I209" s="11" t="n">
        <v>89</v>
      </c>
      <c r="J209" s="12" t="n">
        <v>0.05</v>
      </c>
      <c r="K209" s="11">
        <f>H209*I209*(1-J209)</f>
        <v/>
      </c>
      <c r="L209" s="11" t="n">
        <v>42</v>
      </c>
      <c r="M209" s="11">
        <f>K209-(H209*L209)</f>
        <v/>
      </c>
      <c r="N209" s="11">
        <f>H209*6</f>
        <v/>
      </c>
    </row>
    <row r="210">
      <c r="A210" t="inlineStr">
        <is>
          <t>LL-00209</t>
        </is>
      </c>
      <c r="B210" s="10" t="n">
        <v>46063</v>
      </c>
      <c r="C210" t="inlineStr">
        <is>
          <t>Feb</t>
        </is>
      </c>
      <c r="D210" t="inlineStr">
        <is>
          <t>South</t>
        </is>
      </c>
      <c r="E210" t="inlineStr">
        <is>
          <t>Retail</t>
        </is>
      </c>
      <c r="F210" t="inlineStr">
        <is>
          <t>Aurora Desk Lamp</t>
        </is>
      </c>
      <c r="G210" t="inlineStr">
        <is>
          <t>Lighting</t>
        </is>
      </c>
      <c r="H210" t="n">
        <v>6</v>
      </c>
      <c r="I210" s="11" t="n">
        <v>89</v>
      </c>
      <c r="J210" s="12" t="n">
        <v>0.05</v>
      </c>
      <c r="K210" s="11">
        <f>H210*I210*(1-J210)</f>
        <v/>
      </c>
      <c r="L210" s="11" t="n">
        <v>42</v>
      </c>
      <c r="M210" s="11">
        <f>K210-(H210*L210)</f>
        <v/>
      </c>
      <c r="N210" s="11">
        <f>H210*6</f>
        <v/>
      </c>
    </row>
    <row r="211">
      <c r="A211" t="inlineStr">
        <is>
          <t>LL-00210</t>
        </is>
      </c>
      <c r="B211" s="10" t="n">
        <v>46139</v>
      </c>
      <c r="C211" t="inlineStr">
        <is>
          <t>Apr</t>
        </is>
      </c>
      <c r="D211" t="inlineStr">
        <is>
          <t>North</t>
        </is>
      </c>
      <c r="E211" t="inlineStr">
        <is>
          <t>Marketplace</t>
        </is>
      </c>
      <c r="F211" t="inlineStr">
        <is>
          <t>Luna Throw</t>
        </is>
      </c>
      <c r="G211" t="inlineStr">
        <is>
          <t>Living</t>
        </is>
      </c>
      <c r="H211" t="n">
        <v>5</v>
      </c>
      <c r="I211" s="11" t="n">
        <v>69</v>
      </c>
      <c r="J211" s="12" t="n">
        <v>0.05</v>
      </c>
      <c r="K211" s="11">
        <f>H211*I211*(1-J211)</f>
        <v/>
      </c>
      <c r="L211" s="11" t="n">
        <v>31</v>
      </c>
      <c r="M211" s="11">
        <f>K211-(H211*L211)</f>
        <v/>
      </c>
      <c r="N211" s="11">
        <f>H211*15</f>
        <v/>
      </c>
    </row>
    <row r="212">
      <c r="A212" t="inlineStr">
        <is>
          <t>LL-00211</t>
        </is>
      </c>
      <c r="B212" s="10" t="n">
        <v>46027</v>
      </c>
      <c r="C212" t="inlineStr">
        <is>
          <t>Jan</t>
        </is>
      </c>
      <c r="D212" t="inlineStr">
        <is>
          <t>East</t>
        </is>
      </c>
      <c r="E212" t="inlineStr">
        <is>
          <t>Retail</t>
        </is>
      </c>
      <c r="F212" t="inlineStr">
        <is>
          <t>Luna Throw</t>
        </is>
      </c>
      <c r="G212" t="inlineStr">
        <is>
          <t>Living</t>
        </is>
      </c>
      <c r="H212" t="n">
        <v>7</v>
      </c>
      <c r="I212" s="11" t="n">
        <v>69</v>
      </c>
      <c r="J212" s="12" t="n">
        <v>0.05</v>
      </c>
      <c r="K212" s="11">
        <f>H212*I212*(1-J212)</f>
        <v/>
      </c>
      <c r="L212" s="11" t="n">
        <v>31</v>
      </c>
      <c r="M212" s="11">
        <f>K212-(H212*L212)</f>
        <v/>
      </c>
      <c r="N212" s="11">
        <f>H212*6</f>
        <v/>
      </c>
    </row>
    <row r="213">
      <c r="A213" t="inlineStr">
        <is>
          <t>LL-00212</t>
        </is>
      </c>
      <c r="B213" s="10" t="n">
        <v>46026</v>
      </c>
      <c r="C213" t="inlineStr">
        <is>
          <t>Jan</t>
        </is>
      </c>
      <c r="D213" t="inlineStr">
        <is>
          <t>South</t>
        </is>
      </c>
      <c r="E213" t="inlineStr">
        <is>
          <t>Online</t>
        </is>
      </c>
      <c r="F213" t="inlineStr">
        <is>
          <t>Luna Throw</t>
        </is>
      </c>
      <c r="G213" t="inlineStr">
        <is>
          <t>Living</t>
        </is>
      </c>
      <c r="H213" t="n">
        <v>6</v>
      </c>
      <c r="I213" s="11" t="n">
        <v>69</v>
      </c>
      <c r="J213" s="12" t="n">
        <v>0.15</v>
      </c>
      <c r="K213" s="11">
        <f>H213*I213*(1-J213)</f>
        <v/>
      </c>
      <c r="L213" s="11" t="n">
        <v>31</v>
      </c>
      <c r="M213" s="11">
        <f>K213-(H213*L213)</f>
        <v/>
      </c>
      <c r="N213" s="11">
        <f>H213*11</f>
        <v/>
      </c>
    </row>
    <row r="214">
      <c r="A214" t="inlineStr">
        <is>
          <t>LL-00213</t>
        </is>
      </c>
      <c r="B214" s="10" t="n">
        <v>46324</v>
      </c>
      <c r="C214" t="inlineStr">
        <is>
          <t>Oct</t>
        </is>
      </c>
      <c r="D214" t="inlineStr">
        <is>
          <t>West</t>
        </is>
      </c>
      <c r="E214" t="inlineStr">
        <is>
          <t>Online</t>
        </is>
      </c>
      <c r="F214" t="inlineStr">
        <is>
          <t>Arc Side Table</t>
        </is>
      </c>
      <c r="G214" t="inlineStr">
        <is>
          <t>Living</t>
        </is>
      </c>
      <c r="H214" t="n">
        <v>4</v>
      </c>
      <c r="I214" s="11" t="n">
        <v>139</v>
      </c>
      <c r="J214" s="12" t="n">
        <v>0.1</v>
      </c>
      <c r="K214" s="11">
        <f>H214*I214*(1-J214)</f>
        <v/>
      </c>
      <c r="L214" s="11" t="n">
        <v>72</v>
      </c>
      <c r="M214" s="11">
        <f>K214-(H214*L214)</f>
        <v/>
      </c>
      <c r="N214" s="11">
        <f>H214*11</f>
        <v/>
      </c>
    </row>
    <row r="215">
      <c r="A215" t="inlineStr">
        <is>
          <t>LL-00214</t>
        </is>
      </c>
      <c r="B215" s="10" t="n">
        <v>46215</v>
      </c>
      <c r="C215" t="inlineStr">
        <is>
          <t>Jul</t>
        </is>
      </c>
      <c r="D215" t="inlineStr">
        <is>
          <t>North</t>
        </is>
      </c>
      <c r="E215" t="inlineStr">
        <is>
          <t>Marketplace</t>
        </is>
      </c>
      <c r="F215" t="inlineStr">
        <is>
          <t>Arc Side Table</t>
        </is>
      </c>
      <c r="G215" t="inlineStr">
        <is>
          <t>Living</t>
        </is>
      </c>
      <c r="H215" t="n">
        <v>3</v>
      </c>
      <c r="I215" s="11" t="n">
        <v>139</v>
      </c>
      <c r="J215" s="12" t="n">
        <v>0.2</v>
      </c>
      <c r="K215" s="11">
        <f>H215*I215*(1-J215)</f>
        <v/>
      </c>
      <c r="L215" s="11" t="n">
        <v>72</v>
      </c>
      <c r="M215" s="11">
        <f>K215-(H215*L215)</f>
        <v/>
      </c>
      <c r="N215" s="11">
        <f>H215*15</f>
        <v/>
      </c>
    </row>
    <row r="216">
      <c r="A216" t="inlineStr">
        <is>
          <t>LL-00215</t>
        </is>
      </c>
      <c r="B216" s="10" t="n">
        <v>46162</v>
      </c>
      <c r="C216" t="inlineStr">
        <is>
          <t>May</t>
        </is>
      </c>
      <c r="D216" t="inlineStr">
        <is>
          <t>East</t>
        </is>
      </c>
      <c r="E216" t="inlineStr">
        <is>
          <t>Marketplace</t>
        </is>
      </c>
      <c r="F216" t="inlineStr">
        <is>
          <t>Focus Monitor Stand</t>
        </is>
      </c>
      <c r="G216" t="inlineStr">
        <is>
          <t>Workspace</t>
        </is>
      </c>
      <c r="H216" t="n">
        <v>8</v>
      </c>
      <c r="I216" s="11" t="n">
        <v>79</v>
      </c>
      <c r="J216" s="12" t="n">
        <v>0.15</v>
      </c>
      <c r="K216" s="11">
        <f>H216*I216*(1-J216)</f>
        <v/>
      </c>
      <c r="L216" s="11" t="n">
        <v>36</v>
      </c>
      <c r="M216" s="11">
        <f>K216-(H216*L216)</f>
        <v/>
      </c>
      <c r="N216" s="11">
        <f>H216*15</f>
        <v/>
      </c>
    </row>
    <row r="217">
      <c r="A217" t="inlineStr">
        <is>
          <t>LL-00216</t>
        </is>
      </c>
      <c r="B217" s="10" t="n">
        <v>46062</v>
      </c>
      <c r="C217" t="inlineStr">
        <is>
          <t>Feb</t>
        </is>
      </c>
      <c r="D217" t="inlineStr">
        <is>
          <t>West</t>
        </is>
      </c>
      <c r="E217" t="inlineStr">
        <is>
          <t>Online</t>
        </is>
      </c>
      <c r="F217" t="inlineStr">
        <is>
          <t>Nest Basket</t>
        </is>
      </c>
      <c r="G217" t="inlineStr">
        <is>
          <t>Living</t>
        </is>
      </c>
      <c r="H217" t="n">
        <v>3</v>
      </c>
      <c r="I217" s="11" t="n">
        <v>55</v>
      </c>
      <c r="J217" s="12" t="n">
        <v>0.05</v>
      </c>
      <c r="K217" s="11">
        <f>H217*I217*(1-J217)</f>
        <v/>
      </c>
      <c r="L217" s="11" t="n">
        <v>24</v>
      </c>
      <c r="M217" s="11">
        <f>K217-(H217*L217)</f>
        <v/>
      </c>
      <c r="N217" s="11">
        <f>H217*11</f>
        <v/>
      </c>
    </row>
    <row r="218">
      <c r="A218" t="inlineStr">
        <is>
          <t>LL-00217</t>
        </is>
      </c>
      <c r="B218" s="10" t="n">
        <v>46030</v>
      </c>
      <c r="C218" t="inlineStr">
        <is>
          <t>Jan</t>
        </is>
      </c>
      <c r="D218" t="inlineStr">
        <is>
          <t>North</t>
        </is>
      </c>
      <c r="E218" t="inlineStr">
        <is>
          <t>Online</t>
        </is>
      </c>
      <c r="F218" t="inlineStr">
        <is>
          <t>Halo Floor Lamp</t>
        </is>
      </c>
      <c r="G218" t="inlineStr">
        <is>
          <t>Lighting</t>
        </is>
      </c>
      <c r="H218" t="n">
        <v>7</v>
      </c>
      <c r="I218" s="11" t="n">
        <v>159</v>
      </c>
      <c r="J218" s="12" t="n">
        <v>0.15</v>
      </c>
      <c r="K218" s="11">
        <f>H218*I218*(1-J218)</f>
        <v/>
      </c>
      <c r="L218" s="11" t="n">
        <v>79</v>
      </c>
      <c r="M218" s="11">
        <f>K218-(H218*L218)</f>
        <v/>
      </c>
      <c r="N218" s="11">
        <f>H218*11</f>
        <v/>
      </c>
    </row>
    <row r="219">
      <c r="A219" t="inlineStr">
        <is>
          <t>LL-00218</t>
        </is>
      </c>
      <c r="B219" s="10" t="n">
        <v>46071</v>
      </c>
      <c r="C219" t="inlineStr">
        <is>
          <t>Feb</t>
        </is>
      </c>
      <c r="D219" t="inlineStr">
        <is>
          <t>West</t>
        </is>
      </c>
      <c r="E219" t="inlineStr">
        <is>
          <t>Retail</t>
        </is>
      </c>
      <c r="F219" t="inlineStr">
        <is>
          <t>Luna Throw</t>
        </is>
      </c>
      <c r="G219" t="inlineStr">
        <is>
          <t>Living</t>
        </is>
      </c>
      <c r="H219" t="n">
        <v>3</v>
      </c>
      <c r="I219" s="11" t="n">
        <v>69</v>
      </c>
      <c r="J219" s="12" t="n">
        <v>0.1</v>
      </c>
      <c r="K219" s="11">
        <f>H219*I219*(1-J219)</f>
        <v/>
      </c>
      <c r="L219" s="11" t="n">
        <v>31</v>
      </c>
      <c r="M219" s="11">
        <f>K219-(H219*L219)</f>
        <v/>
      </c>
      <c r="N219" s="11">
        <f>H219*6</f>
        <v/>
      </c>
    </row>
    <row r="220">
      <c r="A220" t="inlineStr">
        <is>
          <t>LL-00219</t>
        </is>
      </c>
      <c r="B220" s="10" t="n">
        <v>46297</v>
      </c>
      <c r="C220" t="inlineStr">
        <is>
          <t>Oct</t>
        </is>
      </c>
      <c r="D220" t="inlineStr">
        <is>
          <t>North</t>
        </is>
      </c>
      <c r="E220" t="inlineStr">
        <is>
          <t>Retail</t>
        </is>
      </c>
      <c r="F220" t="inlineStr">
        <is>
          <t>Focus Monitor Stand</t>
        </is>
      </c>
      <c r="G220" t="inlineStr">
        <is>
          <t>Workspace</t>
        </is>
      </c>
      <c r="H220" t="n">
        <v>4</v>
      </c>
      <c r="I220" s="11" t="n">
        <v>79</v>
      </c>
      <c r="J220" s="12" t="n">
        <v>0</v>
      </c>
      <c r="K220" s="11">
        <f>H220*I220*(1-J220)</f>
        <v/>
      </c>
      <c r="L220" s="11" t="n">
        <v>36</v>
      </c>
      <c r="M220" s="11">
        <f>K220-(H220*L220)</f>
        <v/>
      </c>
      <c r="N220" s="11">
        <f>H220*6</f>
        <v/>
      </c>
    </row>
    <row r="221">
      <c r="A221" t="inlineStr">
        <is>
          <t>LL-00220</t>
        </is>
      </c>
      <c r="B221" s="10" t="n">
        <v>46385</v>
      </c>
      <c r="C221" t="inlineStr">
        <is>
          <t>Dec</t>
        </is>
      </c>
      <c r="D221" t="inlineStr">
        <is>
          <t>East</t>
        </is>
      </c>
      <c r="E221" t="inlineStr">
        <is>
          <t>Retail</t>
        </is>
      </c>
      <c r="F221" t="inlineStr">
        <is>
          <t>Aurora Desk Lamp</t>
        </is>
      </c>
      <c r="G221" t="inlineStr">
        <is>
          <t>Lighting</t>
        </is>
      </c>
      <c r="H221" t="n">
        <v>2</v>
      </c>
      <c r="I221" s="11" t="n">
        <v>89</v>
      </c>
      <c r="J221" s="12" t="n">
        <v>0.05</v>
      </c>
      <c r="K221" s="11">
        <f>H221*I221*(1-J221)</f>
        <v/>
      </c>
      <c r="L221" s="11" t="n">
        <v>42</v>
      </c>
      <c r="M221" s="11">
        <f>K221-(H221*L221)</f>
        <v/>
      </c>
      <c r="N221" s="11">
        <f>H221*6</f>
        <v/>
      </c>
    </row>
    <row r="222">
      <c r="A222" t="inlineStr">
        <is>
          <t>LL-00221</t>
        </is>
      </c>
      <c r="B222" s="10" t="n">
        <v>46080</v>
      </c>
      <c r="C222" t="inlineStr">
        <is>
          <t>Feb</t>
        </is>
      </c>
      <c r="D222" t="inlineStr">
        <is>
          <t>East</t>
        </is>
      </c>
      <c r="E222" t="inlineStr">
        <is>
          <t>Online</t>
        </is>
      </c>
      <c r="F222" t="inlineStr">
        <is>
          <t>Luna Throw</t>
        </is>
      </c>
      <c r="G222" t="inlineStr">
        <is>
          <t>Living</t>
        </is>
      </c>
      <c r="H222" t="n">
        <v>2</v>
      </c>
      <c r="I222" s="11" t="n">
        <v>69</v>
      </c>
      <c r="J222" s="12" t="n">
        <v>0.2</v>
      </c>
      <c r="K222" s="11">
        <f>H222*I222*(1-J222)</f>
        <v/>
      </c>
      <c r="L222" s="11" t="n">
        <v>31</v>
      </c>
      <c r="M222" s="11">
        <f>K222-(H222*L222)</f>
        <v/>
      </c>
      <c r="N222" s="11">
        <f>H222*11</f>
        <v/>
      </c>
    </row>
    <row r="223">
      <c r="A223" t="inlineStr">
        <is>
          <t>LL-00222</t>
        </is>
      </c>
      <c r="B223" s="10" t="n">
        <v>46386</v>
      </c>
      <c r="C223" t="inlineStr">
        <is>
          <t>Dec</t>
        </is>
      </c>
      <c r="D223" t="inlineStr">
        <is>
          <t>West</t>
        </is>
      </c>
      <c r="E223" t="inlineStr">
        <is>
          <t>Online</t>
        </is>
      </c>
      <c r="F223" t="inlineStr">
        <is>
          <t>Focus Monitor Stand</t>
        </is>
      </c>
      <c r="G223" t="inlineStr">
        <is>
          <t>Workspace</t>
        </is>
      </c>
      <c r="H223" t="n">
        <v>2</v>
      </c>
      <c r="I223" s="11" t="n">
        <v>79</v>
      </c>
      <c r="J223" s="12" t="n">
        <v>0.05</v>
      </c>
      <c r="K223" s="11">
        <f>H223*I223*(1-J223)</f>
        <v/>
      </c>
      <c r="L223" s="11" t="n">
        <v>36</v>
      </c>
      <c r="M223" s="11">
        <f>K223-(H223*L223)</f>
        <v/>
      </c>
      <c r="N223" s="11">
        <f>H223*11</f>
        <v/>
      </c>
    </row>
    <row r="224">
      <c r="A224" t="inlineStr">
        <is>
          <t>LL-00223</t>
        </is>
      </c>
      <c r="B224" s="10" t="n">
        <v>46367</v>
      </c>
      <c r="C224" t="inlineStr">
        <is>
          <t>Dec</t>
        </is>
      </c>
      <c r="D224" t="inlineStr">
        <is>
          <t>East</t>
        </is>
      </c>
      <c r="E224" t="inlineStr">
        <is>
          <t>Retail</t>
        </is>
      </c>
      <c r="F224" t="inlineStr">
        <is>
          <t>Luna Throw</t>
        </is>
      </c>
      <c r="G224" t="inlineStr">
        <is>
          <t>Living</t>
        </is>
      </c>
      <c r="H224" t="n">
        <v>1</v>
      </c>
      <c r="I224" s="11" t="n">
        <v>69</v>
      </c>
      <c r="J224" s="12" t="n">
        <v>0.2</v>
      </c>
      <c r="K224" s="11">
        <f>H224*I224*(1-J224)</f>
        <v/>
      </c>
      <c r="L224" s="11" t="n">
        <v>31</v>
      </c>
      <c r="M224" s="11">
        <f>K224-(H224*L224)</f>
        <v/>
      </c>
      <c r="N224" s="11">
        <f>H224*6</f>
        <v/>
      </c>
    </row>
    <row r="225">
      <c r="A225" t="inlineStr">
        <is>
          <t>LL-00224</t>
        </is>
      </c>
      <c r="B225" s="10" t="n">
        <v>46115</v>
      </c>
      <c r="C225" t="inlineStr">
        <is>
          <t>Apr</t>
        </is>
      </c>
      <c r="D225" t="inlineStr">
        <is>
          <t>North</t>
        </is>
      </c>
      <c r="E225" t="inlineStr">
        <is>
          <t>Retail</t>
        </is>
      </c>
      <c r="F225" t="inlineStr">
        <is>
          <t>Focus Monitor Stand</t>
        </is>
      </c>
      <c r="G225" t="inlineStr">
        <is>
          <t>Workspace</t>
        </is>
      </c>
      <c r="H225" t="n">
        <v>8</v>
      </c>
      <c r="I225" s="11" t="n">
        <v>79</v>
      </c>
      <c r="J225" s="12" t="n">
        <v>0.1</v>
      </c>
      <c r="K225" s="11">
        <f>H225*I225*(1-J225)</f>
        <v/>
      </c>
      <c r="L225" s="11" t="n">
        <v>36</v>
      </c>
      <c r="M225" s="11">
        <f>K225-(H225*L225)</f>
        <v/>
      </c>
      <c r="N225" s="11">
        <f>H225*6</f>
        <v/>
      </c>
    </row>
    <row r="226">
      <c r="A226" t="inlineStr">
        <is>
          <t>LL-00225</t>
        </is>
      </c>
      <c r="B226" s="10" t="n">
        <v>46382</v>
      </c>
      <c r="C226" t="inlineStr">
        <is>
          <t>Dec</t>
        </is>
      </c>
      <c r="D226" t="inlineStr">
        <is>
          <t>West</t>
        </is>
      </c>
      <c r="E226" t="inlineStr">
        <is>
          <t>Online</t>
        </is>
      </c>
      <c r="F226" t="inlineStr">
        <is>
          <t>Aurora Desk Lamp</t>
        </is>
      </c>
      <c r="G226" t="inlineStr">
        <is>
          <t>Lighting</t>
        </is>
      </c>
      <c r="H226" t="n">
        <v>7</v>
      </c>
      <c r="I226" s="11" t="n">
        <v>89</v>
      </c>
      <c r="J226" s="12" t="n">
        <v>0.1</v>
      </c>
      <c r="K226" s="11">
        <f>H226*I226*(1-J226)</f>
        <v/>
      </c>
      <c r="L226" s="11" t="n">
        <v>42</v>
      </c>
      <c r="M226" s="11">
        <f>K226-(H226*L226)</f>
        <v/>
      </c>
      <c r="N226" s="11">
        <f>H226*11</f>
        <v/>
      </c>
    </row>
    <row r="227">
      <c r="A227" t="inlineStr">
        <is>
          <t>LL-00226</t>
        </is>
      </c>
      <c r="B227" s="10" t="n">
        <v>46213</v>
      </c>
      <c r="C227" t="inlineStr">
        <is>
          <t>Jul</t>
        </is>
      </c>
      <c r="D227" t="inlineStr">
        <is>
          <t>East</t>
        </is>
      </c>
      <c r="E227" t="inlineStr">
        <is>
          <t>Online</t>
        </is>
      </c>
      <c r="F227" t="inlineStr">
        <is>
          <t>Arc Side Table</t>
        </is>
      </c>
      <c r="G227" t="inlineStr">
        <is>
          <t>Living</t>
        </is>
      </c>
      <c r="H227" t="n">
        <v>1</v>
      </c>
      <c r="I227" s="11" t="n">
        <v>139</v>
      </c>
      <c r="J227" s="12" t="n">
        <v>0.2</v>
      </c>
      <c r="K227" s="11">
        <f>H227*I227*(1-J227)</f>
        <v/>
      </c>
      <c r="L227" s="11" t="n">
        <v>72</v>
      </c>
      <c r="M227" s="11">
        <f>K227-(H227*L227)</f>
        <v/>
      </c>
      <c r="N227" s="11">
        <f>H227*11</f>
        <v/>
      </c>
    </row>
    <row r="228">
      <c r="A228" t="inlineStr">
        <is>
          <t>LL-00227</t>
        </is>
      </c>
      <c r="B228" s="10" t="n">
        <v>46249</v>
      </c>
      <c r="C228" t="inlineStr">
        <is>
          <t>Aug</t>
        </is>
      </c>
      <c r="D228" t="inlineStr">
        <is>
          <t>East</t>
        </is>
      </c>
      <c r="E228" t="inlineStr">
        <is>
          <t>Marketplace</t>
        </is>
      </c>
      <c r="F228" t="inlineStr">
        <is>
          <t>Aurora Desk Lamp</t>
        </is>
      </c>
      <c r="G228" t="inlineStr">
        <is>
          <t>Lighting</t>
        </is>
      </c>
      <c r="H228" t="n">
        <v>1</v>
      </c>
      <c r="I228" s="11" t="n">
        <v>89</v>
      </c>
      <c r="J228" s="12" t="n">
        <v>0.15</v>
      </c>
      <c r="K228" s="11">
        <f>H228*I228*(1-J228)</f>
        <v/>
      </c>
      <c r="L228" s="11" t="n">
        <v>42</v>
      </c>
      <c r="M228" s="11">
        <f>K228-(H228*L228)</f>
        <v/>
      </c>
      <c r="N228" s="11">
        <f>H228*15</f>
        <v/>
      </c>
    </row>
    <row r="229">
      <c r="A229" t="inlineStr">
        <is>
          <t>LL-00228</t>
        </is>
      </c>
      <c r="B229" s="10" t="n">
        <v>46249</v>
      </c>
      <c r="C229" t="inlineStr">
        <is>
          <t>Aug</t>
        </is>
      </c>
      <c r="D229" t="inlineStr">
        <is>
          <t>North</t>
        </is>
      </c>
      <c r="E229" t="inlineStr">
        <is>
          <t>Retail</t>
        </is>
      </c>
      <c r="F229" t="inlineStr">
        <is>
          <t>Focus Monitor Stand</t>
        </is>
      </c>
      <c r="G229" t="inlineStr">
        <is>
          <t>Workspace</t>
        </is>
      </c>
      <c r="H229" t="n">
        <v>2</v>
      </c>
      <c r="I229" s="11" t="n">
        <v>79</v>
      </c>
      <c r="J229" s="12" t="n">
        <v>0.1</v>
      </c>
      <c r="K229" s="11">
        <f>H229*I229*(1-J229)</f>
        <v/>
      </c>
      <c r="L229" s="11" t="n">
        <v>36</v>
      </c>
      <c r="M229" s="11">
        <f>K229-(H229*L229)</f>
        <v/>
      </c>
      <c r="N229" s="11">
        <f>H229*6</f>
        <v/>
      </c>
    </row>
    <row r="230">
      <c r="A230" t="inlineStr">
        <is>
          <t>LL-00229</t>
        </is>
      </c>
      <c r="B230" s="10" t="n">
        <v>46198</v>
      </c>
      <c r="C230" t="inlineStr">
        <is>
          <t>Jun</t>
        </is>
      </c>
      <c r="D230" t="inlineStr">
        <is>
          <t>South</t>
        </is>
      </c>
      <c r="E230" t="inlineStr">
        <is>
          <t>Retail</t>
        </is>
      </c>
      <c r="F230" t="inlineStr">
        <is>
          <t>Focus Monitor Stand</t>
        </is>
      </c>
      <c r="G230" t="inlineStr">
        <is>
          <t>Workspace</t>
        </is>
      </c>
      <c r="H230" t="n">
        <v>6</v>
      </c>
      <c r="I230" s="11" t="n">
        <v>79</v>
      </c>
      <c r="J230" s="12" t="n">
        <v>0.15</v>
      </c>
      <c r="K230" s="11">
        <f>H230*I230*(1-J230)</f>
        <v/>
      </c>
      <c r="L230" s="11" t="n">
        <v>36</v>
      </c>
      <c r="M230" s="11">
        <f>K230-(H230*L230)</f>
        <v/>
      </c>
      <c r="N230" s="11">
        <f>H230*6</f>
        <v/>
      </c>
    </row>
    <row r="231">
      <c r="A231" t="inlineStr">
        <is>
          <t>LL-00230</t>
        </is>
      </c>
      <c r="B231" s="10" t="n">
        <v>46152</v>
      </c>
      <c r="C231" t="inlineStr">
        <is>
          <t>May</t>
        </is>
      </c>
      <c r="D231" t="inlineStr">
        <is>
          <t>East</t>
        </is>
      </c>
      <c r="E231" t="inlineStr">
        <is>
          <t>Retail</t>
        </is>
      </c>
      <c r="F231" t="inlineStr">
        <is>
          <t>Focus Monitor Stand</t>
        </is>
      </c>
      <c r="G231" t="inlineStr">
        <is>
          <t>Workspace</t>
        </is>
      </c>
      <c r="H231" t="n">
        <v>1</v>
      </c>
      <c r="I231" s="11" t="n">
        <v>79</v>
      </c>
      <c r="J231" s="12" t="n">
        <v>0.05</v>
      </c>
      <c r="K231" s="11">
        <f>H231*I231*(1-J231)</f>
        <v/>
      </c>
      <c r="L231" s="11" t="n">
        <v>36</v>
      </c>
      <c r="M231" s="11">
        <f>K231-(H231*L231)</f>
        <v/>
      </c>
      <c r="N231" s="11">
        <f>H231*6</f>
        <v/>
      </c>
    </row>
    <row r="232">
      <c r="A232" t="inlineStr">
        <is>
          <t>LL-00231</t>
        </is>
      </c>
      <c r="B232" s="10" t="n">
        <v>46299</v>
      </c>
      <c r="C232" t="inlineStr">
        <is>
          <t>Oct</t>
        </is>
      </c>
      <c r="D232" t="inlineStr">
        <is>
          <t>East</t>
        </is>
      </c>
      <c r="E232" t="inlineStr">
        <is>
          <t>Online</t>
        </is>
      </c>
      <c r="F232" t="inlineStr">
        <is>
          <t>Focus Monitor Stand</t>
        </is>
      </c>
      <c r="G232" t="inlineStr">
        <is>
          <t>Workspace</t>
        </is>
      </c>
      <c r="H232" t="n">
        <v>4</v>
      </c>
      <c r="I232" s="11" t="n">
        <v>79</v>
      </c>
      <c r="J232" s="12" t="n">
        <v>0.1</v>
      </c>
      <c r="K232" s="11">
        <f>H232*I232*(1-J232)</f>
        <v/>
      </c>
      <c r="L232" s="11" t="n">
        <v>36</v>
      </c>
      <c r="M232" s="11">
        <f>K232-(H232*L232)</f>
        <v/>
      </c>
      <c r="N232" s="11">
        <f>H232*11</f>
        <v/>
      </c>
    </row>
    <row r="233">
      <c r="A233" t="inlineStr">
        <is>
          <t>LL-00232</t>
        </is>
      </c>
      <c r="B233" s="10" t="n">
        <v>46070</v>
      </c>
      <c r="C233" t="inlineStr">
        <is>
          <t>Feb</t>
        </is>
      </c>
      <c r="D233" t="inlineStr">
        <is>
          <t>East</t>
        </is>
      </c>
      <c r="E233" t="inlineStr">
        <is>
          <t>Retail</t>
        </is>
      </c>
      <c r="F233" t="inlineStr">
        <is>
          <t>Arc Side Table</t>
        </is>
      </c>
      <c r="G233" t="inlineStr">
        <is>
          <t>Living</t>
        </is>
      </c>
      <c r="H233" t="n">
        <v>2</v>
      </c>
      <c r="I233" s="11" t="n">
        <v>139</v>
      </c>
      <c r="J233" s="12" t="n">
        <v>0.15</v>
      </c>
      <c r="K233" s="11">
        <f>H233*I233*(1-J233)</f>
        <v/>
      </c>
      <c r="L233" s="11" t="n">
        <v>72</v>
      </c>
      <c r="M233" s="11">
        <f>K233-(H233*L233)</f>
        <v/>
      </c>
      <c r="N233" s="11">
        <f>H233*6</f>
        <v/>
      </c>
    </row>
    <row r="234">
      <c r="A234" t="inlineStr">
        <is>
          <t>LL-00233</t>
        </is>
      </c>
      <c r="B234" s="10" t="n">
        <v>46047</v>
      </c>
      <c r="C234" t="inlineStr">
        <is>
          <t>Jan</t>
        </is>
      </c>
      <c r="D234" t="inlineStr">
        <is>
          <t>North</t>
        </is>
      </c>
      <c r="E234" t="inlineStr">
        <is>
          <t>Online</t>
        </is>
      </c>
      <c r="F234" t="inlineStr">
        <is>
          <t>Halo Floor Lamp</t>
        </is>
      </c>
      <c r="G234" t="inlineStr">
        <is>
          <t>Lighting</t>
        </is>
      </c>
      <c r="H234" t="n">
        <v>5</v>
      </c>
      <c r="I234" s="11" t="n">
        <v>159</v>
      </c>
      <c r="J234" s="12" t="n">
        <v>0.1</v>
      </c>
      <c r="K234" s="11">
        <f>H234*I234*(1-J234)</f>
        <v/>
      </c>
      <c r="L234" s="11" t="n">
        <v>79</v>
      </c>
      <c r="M234" s="11">
        <f>K234-(H234*L234)</f>
        <v/>
      </c>
      <c r="N234" s="11">
        <f>H234*11</f>
        <v/>
      </c>
    </row>
    <row r="235">
      <c r="A235" t="inlineStr">
        <is>
          <t>LL-00234</t>
        </is>
      </c>
      <c r="B235" s="10" t="n">
        <v>46092</v>
      </c>
      <c r="C235" t="inlineStr">
        <is>
          <t>Mar</t>
        </is>
      </c>
      <c r="D235" t="inlineStr">
        <is>
          <t>North</t>
        </is>
      </c>
      <c r="E235" t="inlineStr">
        <is>
          <t>Online</t>
        </is>
      </c>
      <c r="F235" t="inlineStr">
        <is>
          <t>Focus Monitor Stand</t>
        </is>
      </c>
      <c r="G235" t="inlineStr">
        <is>
          <t>Workspace</t>
        </is>
      </c>
      <c r="H235" t="n">
        <v>2</v>
      </c>
      <c r="I235" s="11" t="n">
        <v>79</v>
      </c>
      <c r="J235" s="12" t="n">
        <v>0.05</v>
      </c>
      <c r="K235" s="11">
        <f>H235*I235*(1-J235)</f>
        <v/>
      </c>
      <c r="L235" s="11" t="n">
        <v>36</v>
      </c>
      <c r="M235" s="11">
        <f>K235-(H235*L235)</f>
        <v/>
      </c>
      <c r="N235" s="11">
        <f>H235*11</f>
        <v/>
      </c>
    </row>
    <row r="236">
      <c r="A236" t="inlineStr">
        <is>
          <t>LL-00235</t>
        </is>
      </c>
      <c r="B236" s="10" t="n">
        <v>46049</v>
      </c>
      <c r="C236" t="inlineStr">
        <is>
          <t>Jan</t>
        </is>
      </c>
      <c r="D236" t="inlineStr">
        <is>
          <t>West</t>
        </is>
      </c>
      <c r="E236" t="inlineStr">
        <is>
          <t>Retail</t>
        </is>
      </c>
      <c r="F236" t="inlineStr">
        <is>
          <t>Luna Throw</t>
        </is>
      </c>
      <c r="G236" t="inlineStr">
        <is>
          <t>Living</t>
        </is>
      </c>
      <c r="H236" t="n">
        <v>8</v>
      </c>
      <c r="I236" s="11" t="n">
        <v>69</v>
      </c>
      <c r="J236" s="12" t="n">
        <v>0.1</v>
      </c>
      <c r="K236" s="11">
        <f>H236*I236*(1-J236)</f>
        <v/>
      </c>
      <c r="L236" s="11" t="n">
        <v>31</v>
      </c>
      <c r="M236" s="11">
        <f>K236-(H236*L236)</f>
        <v/>
      </c>
      <c r="N236" s="11">
        <f>H236*6</f>
        <v/>
      </c>
    </row>
    <row r="237">
      <c r="A237" t="inlineStr">
        <is>
          <t>LL-00236</t>
        </is>
      </c>
      <c r="B237" s="10" t="n">
        <v>46280</v>
      </c>
      <c r="C237" t="inlineStr">
        <is>
          <t>Sep</t>
        </is>
      </c>
      <c r="D237" t="inlineStr">
        <is>
          <t>East</t>
        </is>
      </c>
      <c r="E237" t="inlineStr">
        <is>
          <t>Marketplace</t>
        </is>
      </c>
      <c r="F237" t="inlineStr">
        <is>
          <t>Arc Side Table</t>
        </is>
      </c>
      <c r="G237" t="inlineStr">
        <is>
          <t>Living</t>
        </is>
      </c>
      <c r="H237" t="n">
        <v>4</v>
      </c>
      <c r="I237" s="11" t="n">
        <v>139</v>
      </c>
      <c r="J237" s="12" t="n">
        <v>0.05</v>
      </c>
      <c r="K237" s="11">
        <f>H237*I237*(1-J237)</f>
        <v/>
      </c>
      <c r="L237" s="11" t="n">
        <v>72</v>
      </c>
      <c r="M237" s="11">
        <f>K237-(H237*L237)</f>
        <v/>
      </c>
      <c r="N237" s="11">
        <f>H237*15</f>
        <v/>
      </c>
    </row>
    <row r="238">
      <c r="A238" t="inlineStr">
        <is>
          <t>LL-00237</t>
        </is>
      </c>
      <c r="B238" s="10" t="n">
        <v>46301</v>
      </c>
      <c r="C238" t="inlineStr">
        <is>
          <t>Oct</t>
        </is>
      </c>
      <c r="D238" t="inlineStr">
        <is>
          <t>North</t>
        </is>
      </c>
      <c r="E238" t="inlineStr">
        <is>
          <t>Online</t>
        </is>
      </c>
      <c r="F238" t="inlineStr">
        <is>
          <t>Luna Throw</t>
        </is>
      </c>
      <c r="G238" t="inlineStr">
        <is>
          <t>Living</t>
        </is>
      </c>
      <c r="H238" t="n">
        <v>7</v>
      </c>
      <c r="I238" s="11" t="n">
        <v>69</v>
      </c>
      <c r="J238" s="12" t="n">
        <v>0.1</v>
      </c>
      <c r="K238" s="11">
        <f>H238*I238*(1-J238)</f>
        <v/>
      </c>
      <c r="L238" s="11" t="n">
        <v>31</v>
      </c>
      <c r="M238" s="11">
        <f>K238-(H238*L238)</f>
        <v/>
      </c>
      <c r="N238" s="11">
        <f>H238*11</f>
        <v/>
      </c>
    </row>
    <row r="239">
      <c r="A239" t="inlineStr">
        <is>
          <t>LL-00238</t>
        </is>
      </c>
      <c r="B239" s="10" t="n">
        <v>46208</v>
      </c>
      <c r="C239" t="inlineStr">
        <is>
          <t>Jul</t>
        </is>
      </c>
      <c r="D239" t="inlineStr">
        <is>
          <t>East</t>
        </is>
      </c>
      <c r="E239" t="inlineStr">
        <is>
          <t>Online</t>
        </is>
      </c>
      <c r="F239" t="inlineStr">
        <is>
          <t>Luna Throw</t>
        </is>
      </c>
      <c r="G239" t="inlineStr">
        <is>
          <t>Living</t>
        </is>
      </c>
      <c r="H239" t="n">
        <v>1</v>
      </c>
      <c r="I239" s="11" t="n">
        <v>69</v>
      </c>
      <c r="J239" s="12" t="n">
        <v>0.1</v>
      </c>
      <c r="K239" s="11">
        <f>H239*I239*(1-J239)</f>
        <v/>
      </c>
      <c r="L239" s="11" t="n">
        <v>31</v>
      </c>
      <c r="M239" s="11">
        <f>K239-(H239*L239)</f>
        <v/>
      </c>
      <c r="N239" s="11">
        <f>H239*11</f>
        <v/>
      </c>
    </row>
    <row r="240">
      <c r="A240" t="inlineStr">
        <is>
          <t>LL-00239</t>
        </is>
      </c>
      <c r="B240" s="10" t="n">
        <v>46194</v>
      </c>
      <c r="C240" t="inlineStr">
        <is>
          <t>Jun</t>
        </is>
      </c>
      <c r="D240" t="inlineStr">
        <is>
          <t>West</t>
        </is>
      </c>
      <c r="E240" t="inlineStr">
        <is>
          <t>Online</t>
        </is>
      </c>
      <c r="F240" t="inlineStr">
        <is>
          <t>Nest Basket</t>
        </is>
      </c>
      <c r="G240" t="inlineStr">
        <is>
          <t>Living</t>
        </is>
      </c>
      <c r="H240" t="n">
        <v>1</v>
      </c>
      <c r="I240" s="11" t="n">
        <v>55</v>
      </c>
      <c r="J240" s="12" t="n">
        <v>0</v>
      </c>
      <c r="K240" s="11">
        <f>H240*I240*(1-J240)</f>
        <v/>
      </c>
      <c r="L240" s="11" t="n">
        <v>24</v>
      </c>
      <c r="M240" s="11">
        <f>K240-(H240*L240)</f>
        <v/>
      </c>
      <c r="N240" s="11">
        <f>H240*11</f>
        <v/>
      </c>
    </row>
    <row r="241">
      <c r="A241" t="inlineStr">
        <is>
          <t>LL-00240</t>
        </is>
      </c>
      <c r="B241" s="10" t="n">
        <v>46075</v>
      </c>
      <c r="C241" t="inlineStr">
        <is>
          <t>Feb</t>
        </is>
      </c>
      <c r="D241" t="inlineStr">
        <is>
          <t>North</t>
        </is>
      </c>
      <c r="E241" t="inlineStr">
        <is>
          <t>Retail</t>
        </is>
      </c>
      <c r="F241" t="inlineStr">
        <is>
          <t>Nest Basket</t>
        </is>
      </c>
      <c r="G241" t="inlineStr">
        <is>
          <t>Living</t>
        </is>
      </c>
      <c r="H241" t="n">
        <v>5</v>
      </c>
      <c r="I241" s="11" t="n">
        <v>55</v>
      </c>
      <c r="J241" s="12" t="n">
        <v>0.05</v>
      </c>
      <c r="K241" s="11">
        <f>H241*I241*(1-J241)</f>
        <v/>
      </c>
      <c r="L241" s="11" t="n">
        <v>24</v>
      </c>
      <c r="M241" s="11">
        <f>K241-(H241*L241)</f>
        <v/>
      </c>
      <c r="N241" s="11">
        <f>H241*6</f>
        <v/>
      </c>
    </row>
    <row r="242">
      <c r="A242" t="inlineStr">
        <is>
          <t>LL-00241</t>
        </is>
      </c>
      <c r="B242" s="10" t="n">
        <v>46294</v>
      </c>
      <c r="C242" t="inlineStr">
        <is>
          <t>Sep</t>
        </is>
      </c>
      <c r="D242" t="inlineStr">
        <is>
          <t>North</t>
        </is>
      </c>
      <c r="E242" t="inlineStr">
        <is>
          <t>Online</t>
        </is>
      </c>
      <c r="F242" t="inlineStr">
        <is>
          <t>Nest Basket</t>
        </is>
      </c>
      <c r="G242" t="inlineStr">
        <is>
          <t>Living</t>
        </is>
      </c>
      <c r="H242" t="n">
        <v>2</v>
      </c>
      <c r="I242" s="11" t="n">
        <v>55</v>
      </c>
      <c r="J242" s="12" t="n">
        <v>0.1</v>
      </c>
      <c r="K242" s="11">
        <f>H242*I242*(1-J242)</f>
        <v/>
      </c>
      <c r="L242" s="11" t="n">
        <v>24</v>
      </c>
      <c r="M242" s="11">
        <f>K242-(H242*L242)</f>
        <v/>
      </c>
      <c r="N242" s="11">
        <f>H242*11</f>
        <v/>
      </c>
    </row>
    <row r="243">
      <c r="A243" t="inlineStr">
        <is>
          <t>LL-00242</t>
        </is>
      </c>
      <c r="B243" s="10" t="n">
        <v>46143</v>
      </c>
      <c r="C243" t="inlineStr">
        <is>
          <t>May</t>
        </is>
      </c>
      <c r="D243" t="inlineStr">
        <is>
          <t>East</t>
        </is>
      </c>
      <c r="E243" t="inlineStr">
        <is>
          <t>Marketplace</t>
        </is>
      </c>
      <c r="F243" t="inlineStr">
        <is>
          <t>Luna Throw</t>
        </is>
      </c>
      <c r="G243" t="inlineStr">
        <is>
          <t>Living</t>
        </is>
      </c>
      <c r="H243" t="n">
        <v>7</v>
      </c>
      <c r="I243" s="11" t="n">
        <v>69</v>
      </c>
      <c r="J243" s="12" t="n">
        <v>0.05</v>
      </c>
      <c r="K243" s="11">
        <f>H243*I243*(1-J243)</f>
        <v/>
      </c>
      <c r="L243" s="11" t="n">
        <v>31</v>
      </c>
      <c r="M243" s="11">
        <f>K243-(H243*L243)</f>
        <v/>
      </c>
      <c r="N243" s="11">
        <f>H243*15</f>
        <v/>
      </c>
    </row>
    <row r="244">
      <c r="A244" t="inlineStr">
        <is>
          <t>LL-00243</t>
        </is>
      </c>
      <c r="B244" s="10" t="n">
        <v>46079</v>
      </c>
      <c r="C244" t="inlineStr">
        <is>
          <t>Feb</t>
        </is>
      </c>
      <c r="D244" t="inlineStr">
        <is>
          <t>South</t>
        </is>
      </c>
      <c r="E244" t="inlineStr">
        <is>
          <t>Retail</t>
        </is>
      </c>
      <c r="F244" t="inlineStr">
        <is>
          <t>Focus Monitor Stand</t>
        </is>
      </c>
      <c r="G244" t="inlineStr">
        <is>
          <t>Workspace</t>
        </is>
      </c>
      <c r="H244" t="n">
        <v>4</v>
      </c>
      <c r="I244" s="11" t="n">
        <v>79</v>
      </c>
      <c r="J244" s="12" t="n">
        <v>0</v>
      </c>
      <c r="K244" s="11">
        <f>H244*I244*(1-J244)</f>
        <v/>
      </c>
      <c r="L244" s="11" t="n">
        <v>36</v>
      </c>
      <c r="M244" s="11">
        <f>K244-(H244*L244)</f>
        <v/>
      </c>
      <c r="N244" s="11">
        <f>H244*6</f>
        <v/>
      </c>
    </row>
    <row r="245">
      <c r="A245" t="inlineStr">
        <is>
          <t>LL-00244</t>
        </is>
      </c>
      <c r="B245" s="10" t="n">
        <v>46084</v>
      </c>
      <c r="C245" t="inlineStr">
        <is>
          <t>Mar</t>
        </is>
      </c>
      <c r="D245" t="inlineStr">
        <is>
          <t>North</t>
        </is>
      </c>
      <c r="E245" t="inlineStr">
        <is>
          <t>Retail</t>
        </is>
      </c>
      <c r="F245" t="inlineStr">
        <is>
          <t>Arc Side Table</t>
        </is>
      </c>
      <c r="G245" t="inlineStr">
        <is>
          <t>Living</t>
        </is>
      </c>
      <c r="H245" t="n">
        <v>8</v>
      </c>
      <c r="I245" s="11" t="n">
        <v>139</v>
      </c>
      <c r="J245" s="12" t="n">
        <v>0</v>
      </c>
      <c r="K245" s="11">
        <f>H245*I245*(1-J245)</f>
        <v/>
      </c>
      <c r="L245" s="11" t="n">
        <v>72</v>
      </c>
      <c r="M245" s="11">
        <f>K245-(H245*L245)</f>
        <v/>
      </c>
      <c r="N245" s="11">
        <f>H245*6</f>
        <v/>
      </c>
    </row>
    <row r="246">
      <c r="A246" t="inlineStr">
        <is>
          <t>LL-00245</t>
        </is>
      </c>
      <c r="B246" s="10" t="n">
        <v>46304</v>
      </c>
      <c r="C246" t="inlineStr">
        <is>
          <t>Oct</t>
        </is>
      </c>
      <c r="D246" t="inlineStr">
        <is>
          <t>East</t>
        </is>
      </c>
      <c r="E246" t="inlineStr">
        <is>
          <t>Retail</t>
        </is>
      </c>
      <c r="F246" t="inlineStr">
        <is>
          <t>Luna Throw</t>
        </is>
      </c>
      <c r="G246" t="inlineStr">
        <is>
          <t>Living</t>
        </is>
      </c>
      <c r="H246" t="n">
        <v>7</v>
      </c>
      <c r="I246" s="11" t="n">
        <v>69</v>
      </c>
      <c r="J246" s="12" t="n">
        <v>0.15</v>
      </c>
      <c r="K246" s="11">
        <f>H246*I246*(1-J246)</f>
        <v/>
      </c>
      <c r="L246" s="11" t="n">
        <v>31</v>
      </c>
      <c r="M246" s="11">
        <f>K246-(H246*L246)</f>
        <v/>
      </c>
      <c r="N246" s="11">
        <f>H246*6</f>
        <v/>
      </c>
    </row>
    <row r="247">
      <c r="A247" t="inlineStr">
        <is>
          <t>LL-00246</t>
        </is>
      </c>
      <c r="B247" s="10" t="n">
        <v>46157</v>
      </c>
      <c r="C247" t="inlineStr">
        <is>
          <t>May</t>
        </is>
      </c>
      <c r="D247" t="inlineStr">
        <is>
          <t>West</t>
        </is>
      </c>
      <c r="E247" t="inlineStr">
        <is>
          <t>Online</t>
        </is>
      </c>
      <c r="F247" t="inlineStr">
        <is>
          <t>Focus Monitor Stand</t>
        </is>
      </c>
      <c r="G247" t="inlineStr">
        <is>
          <t>Workspace</t>
        </is>
      </c>
      <c r="H247" t="n">
        <v>3</v>
      </c>
      <c r="I247" s="11" t="n">
        <v>79</v>
      </c>
      <c r="J247" s="12" t="n">
        <v>0.05</v>
      </c>
      <c r="K247" s="11">
        <f>H247*I247*(1-J247)</f>
        <v/>
      </c>
      <c r="L247" s="11" t="n">
        <v>36</v>
      </c>
      <c r="M247" s="11">
        <f>K247-(H247*L247)</f>
        <v/>
      </c>
      <c r="N247" s="11">
        <f>H247*11</f>
        <v/>
      </c>
    </row>
    <row r="248">
      <c r="A248" t="inlineStr">
        <is>
          <t>LL-00247</t>
        </is>
      </c>
      <c r="B248" s="10" t="n">
        <v>46088</v>
      </c>
      <c r="C248" t="inlineStr">
        <is>
          <t>Mar</t>
        </is>
      </c>
      <c r="D248" t="inlineStr">
        <is>
          <t>West</t>
        </is>
      </c>
      <c r="E248" t="inlineStr">
        <is>
          <t>Marketplace</t>
        </is>
      </c>
      <c r="F248" t="inlineStr">
        <is>
          <t>Focus Monitor Stand</t>
        </is>
      </c>
      <c r="G248" t="inlineStr">
        <is>
          <t>Workspace</t>
        </is>
      </c>
      <c r="H248" t="n">
        <v>4</v>
      </c>
      <c r="I248" s="11" t="n">
        <v>79</v>
      </c>
      <c r="J248" s="12" t="n">
        <v>0.05</v>
      </c>
      <c r="K248" s="11">
        <f>H248*I248*(1-J248)</f>
        <v/>
      </c>
      <c r="L248" s="11" t="n">
        <v>36</v>
      </c>
      <c r="M248" s="11">
        <f>K248-(H248*L248)</f>
        <v/>
      </c>
      <c r="N248" s="11">
        <f>H248*15</f>
        <v/>
      </c>
    </row>
    <row r="249">
      <c r="A249" t="inlineStr">
        <is>
          <t>LL-00248</t>
        </is>
      </c>
      <c r="B249" s="10" t="n">
        <v>46100</v>
      </c>
      <c r="C249" t="inlineStr">
        <is>
          <t>Mar</t>
        </is>
      </c>
      <c r="D249" t="inlineStr">
        <is>
          <t>West</t>
        </is>
      </c>
      <c r="E249" t="inlineStr">
        <is>
          <t>Marketplace</t>
        </is>
      </c>
      <c r="F249" t="inlineStr">
        <is>
          <t>Aurora Desk Lamp</t>
        </is>
      </c>
      <c r="G249" t="inlineStr">
        <is>
          <t>Lighting</t>
        </is>
      </c>
      <c r="H249" t="n">
        <v>2</v>
      </c>
      <c r="I249" s="11" t="n">
        <v>89</v>
      </c>
      <c r="J249" s="12" t="n">
        <v>0.05</v>
      </c>
      <c r="K249" s="11">
        <f>H249*I249*(1-J249)</f>
        <v/>
      </c>
      <c r="L249" s="11" t="n">
        <v>42</v>
      </c>
      <c r="M249" s="11">
        <f>K249-(H249*L249)</f>
        <v/>
      </c>
      <c r="N249" s="11">
        <f>H249*15</f>
        <v/>
      </c>
    </row>
    <row r="250">
      <c r="A250" t="inlineStr">
        <is>
          <t>LL-00249</t>
        </is>
      </c>
      <c r="B250" s="10" t="n">
        <v>46140</v>
      </c>
      <c r="C250" t="inlineStr">
        <is>
          <t>Apr</t>
        </is>
      </c>
      <c r="D250" t="inlineStr">
        <is>
          <t>East</t>
        </is>
      </c>
      <c r="E250" t="inlineStr">
        <is>
          <t>Marketplace</t>
        </is>
      </c>
      <c r="F250" t="inlineStr">
        <is>
          <t>Arc Side Table</t>
        </is>
      </c>
      <c r="G250" t="inlineStr">
        <is>
          <t>Living</t>
        </is>
      </c>
      <c r="H250" t="n">
        <v>2</v>
      </c>
      <c r="I250" s="11" t="n">
        <v>139</v>
      </c>
      <c r="J250" s="12" t="n">
        <v>0.1</v>
      </c>
      <c r="K250" s="11">
        <f>H250*I250*(1-J250)</f>
        <v/>
      </c>
      <c r="L250" s="11" t="n">
        <v>72</v>
      </c>
      <c r="M250" s="11">
        <f>K250-(H250*L250)</f>
        <v/>
      </c>
      <c r="N250" s="11">
        <f>H250*15</f>
        <v/>
      </c>
    </row>
    <row r="251">
      <c r="A251" t="inlineStr">
        <is>
          <t>LL-00250</t>
        </is>
      </c>
      <c r="B251" s="10" t="n">
        <v>46180</v>
      </c>
      <c r="C251" t="inlineStr">
        <is>
          <t>Jun</t>
        </is>
      </c>
      <c r="D251" t="inlineStr">
        <is>
          <t>North</t>
        </is>
      </c>
      <c r="E251" t="inlineStr">
        <is>
          <t>Retail</t>
        </is>
      </c>
      <c r="F251" t="inlineStr">
        <is>
          <t>Halo Floor Lamp</t>
        </is>
      </c>
      <c r="G251" t="inlineStr">
        <is>
          <t>Lighting</t>
        </is>
      </c>
      <c r="H251" t="n">
        <v>3</v>
      </c>
      <c r="I251" s="11" t="n">
        <v>159</v>
      </c>
      <c r="J251" s="12" t="n">
        <v>0.1</v>
      </c>
      <c r="K251" s="11">
        <f>H251*I251*(1-J251)</f>
        <v/>
      </c>
      <c r="L251" s="11" t="n">
        <v>79</v>
      </c>
      <c r="M251" s="11">
        <f>K251-(H251*L251)</f>
        <v/>
      </c>
      <c r="N251" s="11">
        <f>H251*6</f>
        <v/>
      </c>
    </row>
    <row r="252">
      <c r="A252" t="inlineStr">
        <is>
          <t>LL-00251</t>
        </is>
      </c>
      <c r="B252" s="10" t="n">
        <v>46178</v>
      </c>
      <c r="C252" t="inlineStr">
        <is>
          <t>Jun</t>
        </is>
      </c>
      <c r="D252" t="inlineStr">
        <is>
          <t>North</t>
        </is>
      </c>
      <c r="E252" t="inlineStr">
        <is>
          <t>Retail</t>
        </is>
      </c>
      <c r="F252" t="inlineStr">
        <is>
          <t>Focus Monitor Stand</t>
        </is>
      </c>
      <c r="G252" t="inlineStr">
        <is>
          <t>Workspace</t>
        </is>
      </c>
      <c r="H252" t="n">
        <v>2</v>
      </c>
      <c r="I252" s="11" t="n">
        <v>79</v>
      </c>
      <c r="J252" s="12" t="n">
        <v>0.15</v>
      </c>
      <c r="K252" s="11">
        <f>H252*I252*(1-J252)</f>
        <v/>
      </c>
      <c r="L252" s="11" t="n">
        <v>36</v>
      </c>
      <c r="M252" s="11">
        <f>K252-(H252*L252)</f>
        <v/>
      </c>
      <c r="N252" s="11">
        <f>H252*6</f>
        <v/>
      </c>
    </row>
    <row r="253">
      <c r="A253" t="inlineStr">
        <is>
          <t>LL-00252</t>
        </is>
      </c>
      <c r="B253" s="10" t="n">
        <v>46033</v>
      </c>
      <c r="C253" t="inlineStr">
        <is>
          <t>Jan</t>
        </is>
      </c>
      <c r="D253" t="inlineStr">
        <is>
          <t>North</t>
        </is>
      </c>
      <c r="E253" t="inlineStr">
        <is>
          <t>Online</t>
        </is>
      </c>
      <c r="F253" t="inlineStr">
        <is>
          <t>Halo Floor Lamp</t>
        </is>
      </c>
      <c r="G253" t="inlineStr">
        <is>
          <t>Lighting</t>
        </is>
      </c>
      <c r="H253" t="n">
        <v>7</v>
      </c>
      <c r="I253" s="11" t="n">
        <v>159</v>
      </c>
      <c r="J253" s="12" t="n">
        <v>0</v>
      </c>
      <c r="K253" s="11">
        <f>H253*I253*(1-J253)</f>
        <v/>
      </c>
      <c r="L253" s="11" t="n">
        <v>79</v>
      </c>
      <c r="M253" s="11">
        <f>K253-(H253*L253)</f>
        <v/>
      </c>
      <c r="N253" s="11">
        <f>H253*11</f>
        <v/>
      </c>
    </row>
    <row r="254">
      <c r="A254" t="inlineStr">
        <is>
          <t>LL-00253</t>
        </is>
      </c>
      <c r="B254" s="10" t="n">
        <v>46333</v>
      </c>
      <c r="C254" t="inlineStr">
        <is>
          <t>Nov</t>
        </is>
      </c>
      <c r="D254" t="inlineStr">
        <is>
          <t>West</t>
        </is>
      </c>
      <c r="E254" t="inlineStr">
        <is>
          <t>Online</t>
        </is>
      </c>
      <c r="F254" t="inlineStr">
        <is>
          <t>Arc Side Table</t>
        </is>
      </c>
      <c r="G254" t="inlineStr">
        <is>
          <t>Living</t>
        </is>
      </c>
      <c r="H254" t="n">
        <v>5</v>
      </c>
      <c r="I254" s="11" t="n">
        <v>139</v>
      </c>
      <c r="J254" s="12" t="n">
        <v>0.1</v>
      </c>
      <c r="K254" s="11">
        <f>H254*I254*(1-J254)</f>
        <v/>
      </c>
      <c r="L254" s="11" t="n">
        <v>72</v>
      </c>
      <c r="M254" s="11">
        <f>K254-(H254*L254)</f>
        <v/>
      </c>
      <c r="N254" s="11">
        <f>H254*11</f>
        <v/>
      </c>
    </row>
    <row r="255">
      <c r="A255" t="inlineStr">
        <is>
          <t>LL-00254</t>
        </is>
      </c>
      <c r="B255" s="10" t="n">
        <v>46115</v>
      </c>
      <c r="C255" t="inlineStr">
        <is>
          <t>Apr</t>
        </is>
      </c>
      <c r="D255" t="inlineStr">
        <is>
          <t>North</t>
        </is>
      </c>
      <c r="E255" t="inlineStr">
        <is>
          <t>Online</t>
        </is>
      </c>
      <c r="F255" t="inlineStr">
        <is>
          <t>Luna Throw</t>
        </is>
      </c>
      <c r="G255" t="inlineStr">
        <is>
          <t>Living</t>
        </is>
      </c>
      <c r="H255" t="n">
        <v>5</v>
      </c>
      <c r="I255" s="11" t="n">
        <v>69</v>
      </c>
      <c r="J255" s="12" t="n">
        <v>0.1</v>
      </c>
      <c r="K255" s="11">
        <f>H255*I255*(1-J255)</f>
        <v/>
      </c>
      <c r="L255" s="11" t="n">
        <v>31</v>
      </c>
      <c r="M255" s="11">
        <f>K255-(H255*L255)</f>
        <v/>
      </c>
      <c r="N255" s="11">
        <f>H255*11</f>
        <v/>
      </c>
    </row>
    <row r="256">
      <c r="A256" t="inlineStr">
        <is>
          <t>LL-00255</t>
        </is>
      </c>
      <c r="B256" s="10" t="n">
        <v>46118</v>
      </c>
      <c r="C256" t="inlineStr">
        <is>
          <t>Apr</t>
        </is>
      </c>
      <c r="D256" t="inlineStr">
        <is>
          <t>South</t>
        </is>
      </c>
      <c r="E256" t="inlineStr">
        <is>
          <t>Online</t>
        </is>
      </c>
      <c r="F256" t="inlineStr">
        <is>
          <t>Nest Basket</t>
        </is>
      </c>
      <c r="G256" t="inlineStr">
        <is>
          <t>Living</t>
        </is>
      </c>
      <c r="H256" t="n">
        <v>8</v>
      </c>
      <c r="I256" s="11" t="n">
        <v>55</v>
      </c>
      <c r="J256" s="12" t="n">
        <v>0.05</v>
      </c>
      <c r="K256" s="11">
        <f>H256*I256*(1-J256)</f>
        <v/>
      </c>
      <c r="L256" s="11" t="n">
        <v>24</v>
      </c>
      <c r="M256" s="11">
        <f>K256-(H256*L256)</f>
        <v/>
      </c>
      <c r="N256" s="11">
        <f>H256*11</f>
        <v/>
      </c>
    </row>
    <row r="257">
      <c r="A257" t="inlineStr">
        <is>
          <t>LL-00256</t>
        </is>
      </c>
      <c r="B257" s="10" t="n">
        <v>46347</v>
      </c>
      <c r="C257" t="inlineStr">
        <is>
          <t>Nov</t>
        </is>
      </c>
      <c r="D257" t="inlineStr">
        <is>
          <t>East</t>
        </is>
      </c>
      <c r="E257" t="inlineStr">
        <is>
          <t>Marketplace</t>
        </is>
      </c>
      <c r="F257" t="inlineStr">
        <is>
          <t>Arc Side Table</t>
        </is>
      </c>
      <c r="G257" t="inlineStr">
        <is>
          <t>Living</t>
        </is>
      </c>
      <c r="H257" t="n">
        <v>6</v>
      </c>
      <c r="I257" s="11" t="n">
        <v>139</v>
      </c>
      <c r="J257" s="12" t="n">
        <v>0.05</v>
      </c>
      <c r="K257" s="11">
        <f>H257*I257*(1-J257)</f>
        <v/>
      </c>
      <c r="L257" s="11" t="n">
        <v>72</v>
      </c>
      <c r="M257" s="11">
        <f>K257-(H257*L257)</f>
        <v/>
      </c>
      <c r="N257" s="11">
        <f>H257*15</f>
        <v/>
      </c>
    </row>
    <row r="258">
      <c r="A258" t="inlineStr">
        <is>
          <t>LL-00257</t>
        </is>
      </c>
      <c r="B258" s="10" t="n">
        <v>46295</v>
      </c>
      <c r="C258" t="inlineStr">
        <is>
          <t>Sep</t>
        </is>
      </c>
      <c r="D258" t="inlineStr">
        <is>
          <t>East</t>
        </is>
      </c>
      <c r="E258" t="inlineStr">
        <is>
          <t>Retail</t>
        </is>
      </c>
      <c r="F258" t="inlineStr">
        <is>
          <t>Nest Basket</t>
        </is>
      </c>
      <c r="G258" t="inlineStr">
        <is>
          <t>Living</t>
        </is>
      </c>
      <c r="H258" t="n">
        <v>5</v>
      </c>
      <c r="I258" s="11" t="n">
        <v>55</v>
      </c>
      <c r="J258" s="12" t="n">
        <v>0.1</v>
      </c>
      <c r="K258" s="11">
        <f>H258*I258*(1-J258)</f>
        <v/>
      </c>
      <c r="L258" s="11" t="n">
        <v>24</v>
      </c>
      <c r="M258" s="11">
        <f>K258-(H258*L258)</f>
        <v/>
      </c>
      <c r="N258" s="11">
        <f>H258*6</f>
        <v/>
      </c>
    </row>
    <row r="259">
      <c r="A259" t="inlineStr">
        <is>
          <t>LL-00258</t>
        </is>
      </c>
      <c r="B259" s="10" t="n">
        <v>46104</v>
      </c>
      <c r="C259" t="inlineStr">
        <is>
          <t>Mar</t>
        </is>
      </c>
      <c r="D259" t="inlineStr">
        <is>
          <t>East</t>
        </is>
      </c>
      <c r="E259" t="inlineStr">
        <is>
          <t>Marketplace</t>
        </is>
      </c>
      <c r="F259" t="inlineStr">
        <is>
          <t>Luna Throw</t>
        </is>
      </c>
      <c r="G259" t="inlineStr">
        <is>
          <t>Living</t>
        </is>
      </c>
      <c r="H259" t="n">
        <v>8</v>
      </c>
      <c r="I259" s="11" t="n">
        <v>69</v>
      </c>
      <c r="J259" s="12" t="n">
        <v>0.1</v>
      </c>
      <c r="K259" s="11">
        <f>H259*I259*(1-J259)</f>
        <v/>
      </c>
      <c r="L259" s="11" t="n">
        <v>31</v>
      </c>
      <c r="M259" s="11">
        <f>K259-(H259*L259)</f>
        <v/>
      </c>
      <c r="N259" s="11">
        <f>H259*15</f>
        <v/>
      </c>
    </row>
    <row r="260">
      <c r="A260" t="inlineStr">
        <is>
          <t>LL-00259</t>
        </is>
      </c>
      <c r="B260" s="10" t="n">
        <v>46271</v>
      </c>
      <c r="C260" t="inlineStr">
        <is>
          <t>Sep</t>
        </is>
      </c>
      <c r="D260" t="inlineStr">
        <is>
          <t>North</t>
        </is>
      </c>
      <c r="E260" t="inlineStr">
        <is>
          <t>Retail</t>
        </is>
      </c>
      <c r="F260" t="inlineStr">
        <is>
          <t>Halo Floor Lamp</t>
        </is>
      </c>
      <c r="G260" t="inlineStr">
        <is>
          <t>Lighting</t>
        </is>
      </c>
      <c r="H260" t="n">
        <v>5</v>
      </c>
      <c r="I260" s="11" t="n">
        <v>159</v>
      </c>
      <c r="J260" s="12" t="n">
        <v>0.1</v>
      </c>
      <c r="K260" s="11">
        <f>H260*I260*(1-J260)</f>
        <v/>
      </c>
      <c r="L260" s="11" t="n">
        <v>79</v>
      </c>
      <c r="M260" s="11">
        <f>K260-(H260*L260)</f>
        <v/>
      </c>
      <c r="N260" s="11">
        <f>H260*6</f>
        <v/>
      </c>
    </row>
    <row r="261">
      <c r="A261" t="inlineStr">
        <is>
          <t>LL-00260</t>
        </is>
      </c>
      <c r="B261" s="10" t="n">
        <v>46246</v>
      </c>
      <c r="C261" t="inlineStr">
        <is>
          <t>Aug</t>
        </is>
      </c>
      <c r="D261" t="inlineStr">
        <is>
          <t>East</t>
        </is>
      </c>
      <c r="E261" t="inlineStr">
        <is>
          <t>Marketplace</t>
        </is>
      </c>
      <c r="F261" t="inlineStr">
        <is>
          <t>Focus Monitor Stand</t>
        </is>
      </c>
      <c r="G261" t="inlineStr">
        <is>
          <t>Workspace</t>
        </is>
      </c>
      <c r="H261" t="n">
        <v>1</v>
      </c>
      <c r="I261" s="11" t="n">
        <v>79</v>
      </c>
      <c r="J261" s="12" t="n">
        <v>0.2</v>
      </c>
      <c r="K261" s="11">
        <f>H261*I261*(1-J261)</f>
        <v/>
      </c>
      <c r="L261" s="11" t="n">
        <v>36</v>
      </c>
      <c r="M261" s="11">
        <f>K261-(H261*L261)</f>
        <v/>
      </c>
      <c r="N261" s="11">
        <f>H261*15</f>
        <v/>
      </c>
    </row>
    <row r="262">
      <c r="A262" t="inlineStr">
        <is>
          <t>LL-00261</t>
        </is>
      </c>
      <c r="B262" s="10" t="n">
        <v>46315</v>
      </c>
      <c r="C262" t="inlineStr">
        <is>
          <t>Oct</t>
        </is>
      </c>
      <c r="D262" t="inlineStr">
        <is>
          <t>South</t>
        </is>
      </c>
      <c r="E262" t="inlineStr">
        <is>
          <t>Retail</t>
        </is>
      </c>
      <c r="F262" t="inlineStr">
        <is>
          <t>Aurora Desk Lamp</t>
        </is>
      </c>
      <c r="G262" t="inlineStr">
        <is>
          <t>Lighting</t>
        </is>
      </c>
      <c r="H262" t="n">
        <v>4</v>
      </c>
      <c r="I262" s="11" t="n">
        <v>89</v>
      </c>
      <c r="J262" s="12" t="n">
        <v>0.15</v>
      </c>
      <c r="K262" s="11">
        <f>H262*I262*(1-J262)</f>
        <v/>
      </c>
      <c r="L262" s="11" t="n">
        <v>42</v>
      </c>
      <c r="M262" s="11">
        <f>K262-(H262*L262)</f>
        <v/>
      </c>
      <c r="N262" s="11">
        <f>H262*6</f>
        <v/>
      </c>
    </row>
    <row r="263">
      <c r="A263" t="inlineStr">
        <is>
          <t>LL-00262</t>
        </is>
      </c>
      <c r="B263" s="10" t="n">
        <v>46172</v>
      </c>
      <c r="C263" t="inlineStr">
        <is>
          <t>May</t>
        </is>
      </c>
      <c r="D263" t="inlineStr">
        <is>
          <t>West</t>
        </is>
      </c>
      <c r="E263" t="inlineStr">
        <is>
          <t>Retail</t>
        </is>
      </c>
      <c r="F263" t="inlineStr">
        <is>
          <t>Focus Monitor Stand</t>
        </is>
      </c>
      <c r="G263" t="inlineStr">
        <is>
          <t>Workspace</t>
        </is>
      </c>
      <c r="H263" t="n">
        <v>2</v>
      </c>
      <c r="I263" s="11" t="n">
        <v>79</v>
      </c>
      <c r="J263" s="12" t="n">
        <v>0.1</v>
      </c>
      <c r="K263" s="11">
        <f>H263*I263*(1-J263)</f>
        <v/>
      </c>
      <c r="L263" s="11" t="n">
        <v>36</v>
      </c>
      <c r="M263" s="11">
        <f>K263-(H263*L263)</f>
        <v/>
      </c>
      <c r="N263" s="11">
        <f>H263*6</f>
        <v/>
      </c>
    </row>
    <row r="264">
      <c r="A264" t="inlineStr">
        <is>
          <t>LL-00263</t>
        </is>
      </c>
      <c r="B264" s="10" t="n">
        <v>46220</v>
      </c>
      <c r="C264" t="inlineStr">
        <is>
          <t>Jul</t>
        </is>
      </c>
      <c r="D264" t="inlineStr">
        <is>
          <t>North</t>
        </is>
      </c>
      <c r="E264" t="inlineStr">
        <is>
          <t>Marketplace</t>
        </is>
      </c>
      <c r="F264" t="inlineStr">
        <is>
          <t>Aurora Desk Lamp</t>
        </is>
      </c>
      <c r="G264" t="inlineStr">
        <is>
          <t>Lighting</t>
        </is>
      </c>
      <c r="H264" t="n">
        <v>7</v>
      </c>
      <c r="I264" s="11" t="n">
        <v>89</v>
      </c>
      <c r="J264" s="12" t="n">
        <v>0.05</v>
      </c>
      <c r="K264" s="11">
        <f>H264*I264*(1-J264)</f>
        <v/>
      </c>
      <c r="L264" s="11" t="n">
        <v>42</v>
      </c>
      <c r="M264" s="11">
        <f>K264-(H264*L264)</f>
        <v/>
      </c>
      <c r="N264" s="11">
        <f>H264*15</f>
        <v/>
      </c>
    </row>
    <row r="265">
      <c r="A265" t="inlineStr">
        <is>
          <t>LL-00264</t>
        </is>
      </c>
      <c r="B265" s="10" t="n">
        <v>46320</v>
      </c>
      <c r="C265" t="inlineStr">
        <is>
          <t>Oct</t>
        </is>
      </c>
      <c r="D265" t="inlineStr">
        <is>
          <t>North</t>
        </is>
      </c>
      <c r="E265" t="inlineStr">
        <is>
          <t>Retail</t>
        </is>
      </c>
      <c r="F265" t="inlineStr">
        <is>
          <t>Focus Monitor Stand</t>
        </is>
      </c>
      <c r="G265" t="inlineStr">
        <is>
          <t>Workspace</t>
        </is>
      </c>
      <c r="H265" t="n">
        <v>8</v>
      </c>
      <c r="I265" s="11" t="n">
        <v>79</v>
      </c>
      <c r="J265" s="12" t="n">
        <v>0.1</v>
      </c>
      <c r="K265" s="11">
        <f>H265*I265*(1-J265)</f>
        <v/>
      </c>
      <c r="L265" s="11" t="n">
        <v>36</v>
      </c>
      <c r="M265" s="11">
        <f>K265-(H265*L265)</f>
        <v/>
      </c>
      <c r="N265" s="11">
        <f>H265*6</f>
        <v/>
      </c>
    </row>
    <row r="266">
      <c r="A266" t="inlineStr">
        <is>
          <t>LL-00265</t>
        </is>
      </c>
      <c r="B266" s="10" t="n">
        <v>46366</v>
      </c>
      <c r="C266" t="inlineStr">
        <is>
          <t>Dec</t>
        </is>
      </c>
      <c r="D266" t="inlineStr">
        <is>
          <t>North</t>
        </is>
      </c>
      <c r="E266" t="inlineStr">
        <is>
          <t>Online</t>
        </is>
      </c>
      <c r="F266" t="inlineStr">
        <is>
          <t>Arc Side Table</t>
        </is>
      </c>
      <c r="G266" t="inlineStr">
        <is>
          <t>Living</t>
        </is>
      </c>
      <c r="H266" t="n">
        <v>4</v>
      </c>
      <c r="I266" s="11" t="n">
        <v>139</v>
      </c>
      <c r="J266" s="12" t="n">
        <v>0.05</v>
      </c>
      <c r="K266" s="11">
        <f>H266*I266*(1-J266)</f>
        <v/>
      </c>
      <c r="L266" s="11" t="n">
        <v>72</v>
      </c>
      <c r="M266" s="11">
        <f>K266-(H266*L266)</f>
        <v/>
      </c>
      <c r="N266" s="11">
        <f>H266*11</f>
        <v/>
      </c>
    </row>
    <row r="267">
      <c r="A267" t="inlineStr">
        <is>
          <t>LL-00266</t>
        </is>
      </c>
      <c r="B267" s="10" t="n">
        <v>46030</v>
      </c>
      <c r="C267" t="inlineStr">
        <is>
          <t>Jan</t>
        </is>
      </c>
      <c r="D267" t="inlineStr">
        <is>
          <t>East</t>
        </is>
      </c>
      <c r="E267" t="inlineStr">
        <is>
          <t>Retail</t>
        </is>
      </c>
      <c r="F267" t="inlineStr">
        <is>
          <t>Halo Floor Lamp</t>
        </is>
      </c>
      <c r="G267" t="inlineStr">
        <is>
          <t>Lighting</t>
        </is>
      </c>
      <c r="H267" t="n">
        <v>2</v>
      </c>
      <c r="I267" s="11" t="n">
        <v>159</v>
      </c>
      <c r="J267" s="12" t="n">
        <v>0.1</v>
      </c>
      <c r="K267" s="11">
        <f>H267*I267*(1-J267)</f>
        <v/>
      </c>
      <c r="L267" s="11" t="n">
        <v>79</v>
      </c>
      <c r="M267" s="11">
        <f>K267-(H267*L267)</f>
        <v/>
      </c>
      <c r="N267" s="11">
        <f>H267*6</f>
        <v/>
      </c>
    </row>
    <row r="268">
      <c r="A268" t="inlineStr">
        <is>
          <t>LL-00267</t>
        </is>
      </c>
      <c r="B268" s="10" t="n">
        <v>46261</v>
      </c>
      <c r="C268" t="inlineStr">
        <is>
          <t>Aug</t>
        </is>
      </c>
      <c r="D268" t="inlineStr">
        <is>
          <t>West</t>
        </is>
      </c>
      <c r="E268" t="inlineStr">
        <is>
          <t>Retail</t>
        </is>
      </c>
      <c r="F268" t="inlineStr">
        <is>
          <t>Luna Throw</t>
        </is>
      </c>
      <c r="G268" t="inlineStr">
        <is>
          <t>Living</t>
        </is>
      </c>
      <c r="H268" t="n">
        <v>7</v>
      </c>
      <c r="I268" s="11" t="n">
        <v>69</v>
      </c>
      <c r="J268" s="12" t="n">
        <v>0.05</v>
      </c>
      <c r="K268" s="11">
        <f>H268*I268*(1-J268)</f>
        <v/>
      </c>
      <c r="L268" s="11" t="n">
        <v>31</v>
      </c>
      <c r="M268" s="11">
        <f>K268-(H268*L268)</f>
        <v/>
      </c>
      <c r="N268" s="11">
        <f>H268*6</f>
        <v/>
      </c>
    </row>
    <row r="269">
      <c r="A269" t="inlineStr">
        <is>
          <t>LL-00268</t>
        </is>
      </c>
      <c r="B269" s="10" t="n">
        <v>46191</v>
      </c>
      <c r="C269" t="inlineStr">
        <is>
          <t>Jun</t>
        </is>
      </c>
      <c r="D269" t="inlineStr">
        <is>
          <t>East</t>
        </is>
      </c>
      <c r="E269" t="inlineStr">
        <is>
          <t>Online</t>
        </is>
      </c>
      <c r="F269" t="inlineStr">
        <is>
          <t>Aurora Desk Lamp</t>
        </is>
      </c>
      <c r="G269" t="inlineStr">
        <is>
          <t>Lighting</t>
        </is>
      </c>
      <c r="H269" t="n">
        <v>6</v>
      </c>
      <c r="I269" s="11" t="n">
        <v>89</v>
      </c>
      <c r="J269" s="12" t="n">
        <v>0.1</v>
      </c>
      <c r="K269" s="11">
        <f>H269*I269*(1-J269)</f>
        <v/>
      </c>
      <c r="L269" s="11" t="n">
        <v>42</v>
      </c>
      <c r="M269" s="11">
        <f>K269-(H269*L269)</f>
        <v/>
      </c>
      <c r="N269" s="11">
        <f>H269*11</f>
        <v/>
      </c>
    </row>
    <row r="270">
      <c r="A270" t="inlineStr">
        <is>
          <t>LL-00269</t>
        </is>
      </c>
      <c r="B270" s="10" t="n">
        <v>46079</v>
      </c>
      <c r="C270" t="inlineStr">
        <is>
          <t>Feb</t>
        </is>
      </c>
      <c r="D270" t="inlineStr">
        <is>
          <t>South</t>
        </is>
      </c>
      <c r="E270" t="inlineStr">
        <is>
          <t>Retail</t>
        </is>
      </c>
      <c r="F270" t="inlineStr">
        <is>
          <t>Focus Monitor Stand</t>
        </is>
      </c>
      <c r="G270" t="inlineStr">
        <is>
          <t>Workspace</t>
        </is>
      </c>
      <c r="H270" t="n">
        <v>6</v>
      </c>
      <c r="I270" s="11" t="n">
        <v>79</v>
      </c>
      <c r="J270" s="12" t="n">
        <v>0.05</v>
      </c>
      <c r="K270" s="11">
        <f>H270*I270*(1-J270)</f>
        <v/>
      </c>
      <c r="L270" s="11" t="n">
        <v>36</v>
      </c>
      <c r="M270" s="11">
        <f>K270-(H270*L270)</f>
        <v/>
      </c>
      <c r="N270" s="11">
        <f>H270*6</f>
        <v/>
      </c>
    </row>
    <row r="271">
      <c r="A271" t="inlineStr">
        <is>
          <t>LL-00270</t>
        </is>
      </c>
      <c r="B271" s="10" t="n">
        <v>46119</v>
      </c>
      <c r="C271" t="inlineStr">
        <is>
          <t>Apr</t>
        </is>
      </c>
      <c r="D271" t="inlineStr">
        <is>
          <t>East</t>
        </is>
      </c>
      <c r="E271" t="inlineStr">
        <is>
          <t>Online</t>
        </is>
      </c>
      <c r="F271" t="inlineStr">
        <is>
          <t>Aurora Desk Lamp</t>
        </is>
      </c>
      <c r="G271" t="inlineStr">
        <is>
          <t>Lighting</t>
        </is>
      </c>
      <c r="H271" t="n">
        <v>2</v>
      </c>
      <c r="I271" s="11" t="n">
        <v>89</v>
      </c>
      <c r="J271" s="12" t="n">
        <v>0.1</v>
      </c>
      <c r="K271" s="11">
        <f>H271*I271*(1-J271)</f>
        <v/>
      </c>
      <c r="L271" s="11" t="n">
        <v>42</v>
      </c>
      <c r="M271" s="11">
        <f>K271-(H271*L271)</f>
        <v/>
      </c>
      <c r="N271" s="11">
        <f>H271*11</f>
        <v/>
      </c>
    </row>
    <row r="272">
      <c r="A272" t="inlineStr">
        <is>
          <t>LL-00271</t>
        </is>
      </c>
      <c r="B272" s="10" t="n">
        <v>46352</v>
      </c>
      <c r="C272" t="inlineStr">
        <is>
          <t>Nov</t>
        </is>
      </c>
      <c r="D272" t="inlineStr">
        <is>
          <t>North</t>
        </is>
      </c>
      <c r="E272" t="inlineStr">
        <is>
          <t>Online</t>
        </is>
      </c>
      <c r="F272" t="inlineStr">
        <is>
          <t>Nest Basket</t>
        </is>
      </c>
      <c r="G272" t="inlineStr">
        <is>
          <t>Living</t>
        </is>
      </c>
      <c r="H272" t="n">
        <v>3</v>
      </c>
      <c r="I272" s="11" t="n">
        <v>55</v>
      </c>
      <c r="J272" s="12" t="n">
        <v>0.1</v>
      </c>
      <c r="K272" s="11">
        <f>H272*I272*(1-J272)</f>
        <v/>
      </c>
      <c r="L272" s="11" t="n">
        <v>24</v>
      </c>
      <c r="M272" s="11">
        <f>K272-(H272*L272)</f>
        <v/>
      </c>
      <c r="N272" s="11">
        <f>H272*11</f>
        <v/>
      </c>
    </row>
    <row r="273">
      <c r="A273" t="inlineStr">
        <is>
          <t>LL-00272</t>
        </is>
      </c>
      <c r="B273" s="10" t="n">
        <v>46061</v>
      </c>
      <c r="C273" t="inlineStr">
        <is>
          <t>Feb</t>
        </is>
      </c>
      <c r="D273" t="inlineStr">
        <is>
          <t>North</t>
        </is>
      </c>
      <c r="E273" t="inlineStr">
        <is>
          <t>Online</t>
        </is>
      </c>
      <c r="F273" t="inlineStr">
        <is>
          <t>Nest Basket</t>
        </is>
      </c>
      <c r="G273" t="inlineStr">
        <is>
          <t>Living</t>
        </is>
      </c>
      <c r="H273" t="n">
        <v>3</v>
      </c>
      <c r="I273" s="11" t="n">
        <v>55</v>
      </c>
      <c r="J273" s="12" t="n">
        <v>0</v>
      </c>
      <c r="K273" s="11">
        <f>H273*I273*(1-J273)</f>
        <v/>
      </c>
      <c r="L273" s="11" t="n">
        <v>24</v>
      </c>
      <c r="M273" s="11">
        <f>K273-(H273*L273)</f>
        <v/>
      </c>
      <c r="N273" s="11">
        <f>H273*11</f>
        <v/>
      </c>
    </row>
    <row r="274">
      <c r="A274" t="inlineStr">
        <is>
          <t>LL-00273</t>
        </is>
      </c>
      <c r="B274" s="10" t="n">
        <v>46314</v>
      </c>
      <c r="C274" t="inlineStr">
        <is>
          <t>Oct</t>
        </is>
      </c>
      <c r="D274" t="inlineStr">
        <is>
          <t>West</t>
        </is>
      </c>
      <c r="E274" t="inlineStr">
        <is>
          <t>Online</t>
        </is>
      </c>
      <c r="F274" t="inlineStr">
        <is>
          <t>Halo Floor Lamp</t>
        </is>
      </c>
      <c r="G274" t="inlineStr">
        <is>
          <t>Lighting</t>
        </is>
      </c>
      <c r="H274" t="n">
        <v>4</v>
      </c>
      <c r="I274" s="11" t="n">
        <v>159</v>
      </c>
      <c r="J274" s="12" t="n">
        <v>0.1</v>
      </c>
      <c r="K274" s="11">
        <f>H274*I274*(1-J274)</f>
        <v/>
      </c>
      <c r="L274" s="11" t="n">
        <v>79</v>
      </c>
      <c r="M274" s="11">
        <f>K274-(H274*L274)</f>
        <v/>
      </c>
      <c r="N274" s="11">
        <f>H274*11</f>
        <v/>
      </c>
    </row>
    <row r="275">
      <c r="A275" t="inlineStr">
        <is>
          <t>LL-00274</t>
        </is>
      </c>
      <c r="B275" s="10" t="n">
        <v>46301</v>
      </c>
      <c r="C275" t="inlineStr">
        <is>
          <t>Oct</t>
        </is>
      </c>
      <c r="D275" t="inlineStr">
        <is>
          <t>North</t>
        </is>
      </c>
      <c r="E275" t="inlineStr">
        <is>
          <t>Retail</t>
        </is>
      </c>
      <c r="F275" t="inlineStr">
        <is>
          <t>Arc Side Table</t>
        </is>
      </c>
      <c r="G275" t="inlineStr">
        <is>
          <t>Living</t>
        </is>
      </c>
      <c r="H275" t="n">
        <v>3</v>
      </c>
      <c r="I275" s="11" t="n">
        <v>139</v>
      </c>
      <c r="J275" s="12" t="n">
        <v>0.2</v>
      </c>
      <c r="K275" s="11">
        <f>H275*I275*(1-J275)</f>
        <v/>
      </c>
      <c r="L275" s="11" t="n">
        <v>72</v>
      </c>
      <c r="M275" s="11">
        <f>K275-(H275*L275)</f>
        <v/>
      </c>
      <c r="N275" s="11">
        <f>H275*6</f>
        <v/>
      </c>
    </row>
    <row r="276">
      <c r="A276" t="inlineStr">
        <is>
          <t>LL-00275</t>
        </is>
      </c>
      <c r="B276" s="10" t="n">
        <v>46278</v>
      </c>
      <c r="C276" t="inlineStr">
        <is>
          <t>Sep</t>
        </is>
      </c>
      <c r="D276" t="inlineStr">
        <is>
          <t>East</t>
        </is>
      </c>
      <c r="E276" t="inlineStr">
        <is>
          <t>Retail</t>
        </is>
      </c>
      <c r="F276" t="inlineStr">
        <is>
          <t>Aurora Desk Lamp</t>
        </is>
      </c>
      <c r="G276" t="inlineStr">
        <is>
          <t>Lighting</t>
        </is>
      </c>
      <c r="H276" t="n">
        <v>6</v>
      </c>
      <c r="I276" s="11" t="n">
        <v>89</v>
      </c>
      <c r="J276" s="12" t="n">
        <v>0.1</v>
      </c>
      <c r="K276" s="11">
        <f>H276*I276*(1-J276)</f>
        <v/>
      </c>
      <c r="L276" s="11" t="n">
        <v>42</v>
      </c>
      <c r="M276" s="11">
        <f>K276-(H276*L276)</f>
        <v/>
      </c>
      <c r="N276" s="11">
        <f>H276*6</f>
        <v/>
      </c>
    </row>
    <row r="277">
      <c r="A277" t="inlineStr">
        <is>
          <t>LL-00276</t>
        </is>
      </c>
      <c r="B277" s="10" t="n">
        <v>46319</v>
      </c>
      <c r="C277" t="inlineStr">
        <is>
          <t>Oct</t>
        </is>
      </c>
      <c r="D277" t="inlineStr">
        <is>
          <t>East</t>
        </is>
      </c>
      <c r="E277" t="inlineStr">
        <is>
          <t>Retail</t>
        </is>
      </c>
      <c r="F277" t="inlineStr">
        <is>
          <t>Halo Floor Lamp</t>
        </is>
      </c>
      <c r="G277" t="inlineStr">
        <is>
          <t>Lighting</t>
        </is>
      </c>
      <c r="H277" t="n">
        <v>2</v>
      </c>
      <c r="I277" s="11" t="n">
        <v>159</v>
      </c>
      <c r="J277" s="12" t="n">
        <v>0.05</v>
      </c>
      <c r="K277" s="11">
        <f>H277*I277*(1-J277)</f>
        <v/>
      </c>
      <c r="L277" s="11" t="n">
        <v>79</v>
      </c>
      <c r="M277" s="11">
        <f>K277-(H277*L277)</f>
        <v/>
      </c>
      <c r="N277" s="11">
        <f>H277*6</f>
        <v/>
      </c>
    </row>
    <row r="278">
      <c r="A278" t="inlineStr">
        <is>
          <t>LL-00277</t>
        </is>
      </c>
      <c r="B278" s="10" t="n">
        <v>46285</v>
      </c>
      <c r="C278" t="inlineStr">
        <is>
          <t>Sep</t>
        </is>
      </c>
      <c r="D278" t="inlineStr">
        <is>
          <t>North</t>
        </is>
      </c>
      <c r="E278" t="inlineStr">
        <is>
          <t>Online</t>
        </is>
      </c>
      <c r="F278" t="inlineStr">
        <is>
          <t>Nest Basket</t>
        </is>
      </c>
      <c r="G278" t="inlineStr">
        <is>
          <t>Living</t>
        </is>
      </c>
      <c r="H278" t="n">
        <v>2</v>
      </c>
      <c r="I278" s="11" t="n">
        <v>55</v>
      </c>
      <c r="J278" s="12" t="n">
        <v>0.2</v>
      </c>
      <c r="K278" s="11">
        <f>H278*I278*(1-J278)</f>
        <v/>
      </c>
      <c r="L278" s="11" t="n">
        <v>24</v>
      </c>
      <c r="M278" s="11">
        <f>K278-(H278*L278)</f>
        <v/>
      </c>
      <c r="N278" s="11">
        <f>H278*11</f>
        <v/>
      </c>
    </row>
    <row r="279">
      <c r="A279" t="inlineStr">
        <is>
          <t>LL-00278</t>
        </is>
      </c>
      <c r="B279" s="10" t="n">
        <v>46107</v>
      </c>
      <c r="C279" t="inlineStr">
        <is>
          <t>Mar</t>
        </is>
      </c>
      <c r="D279" t="inlineStr">
        <is>
          <t>South</t>
        </is>
      </c>
      <c r="E279" t="inlineStr">
        <is>
          <t>Retail</t>
        </is>
      </c>
      <c r="F279" t="inlineStr">
        <is>
          <t>Aurora Desk Lamp</t>
        </is>
      </c>
      <c r="G279" t="inlineStr">
        <is>
          <t>Lighting</t>
        </is>
      </c>
      <c r="H279" t="n">
        <v>2</v>
      </c>
      <c r="I279" s="11" t="n">
        <v>89</v>
      </c>
      <c r="J279" s="12" t="n">
        <v>0</v>
      </c>
      <c r="K279" s="11">
        <f>H279*I279*(1-J279)</f>
        <v/>
      </c>
      <c r="L279" s="11" t="n">
        <v>42</v>
      </c>
      <c r="M279" s="11">
        <f>K279-(H279*L279)</f>
        <v/>
      </c>
      <c r="N279" s="11">
        <f>H279*6</f>
        <v/>
      </c>
    </row>
    <row r="280">
      <c r="A280" t="inlineStr">
        <is>
          <t>LL-00279</t>
        </is>
      </c>
      <c r="B280" s="10" t="n">
        <v>46041</v>
      </c>
      <c r="C280" t="inlineStr">
        <is>
          <t>Jan</t>
        </is>
      </c>
      <c r="D280" t="inlineStr">
        <is>
          <t>South</t>
        </is>
      </c>
      <c r="E280" t="inlineStr">
        <is>
          <t>Online</t>
        </is>
      </c>
      <c r="F280" t="inlineStr">
        <is>
          <t>Aurora Desk Lamp</t>
        </is>
      </c>
      <c r="G280" t="inlineStr">
        <is>
          <t>Lighting</t>
        </is>
      </c>
      <c r="H280" t="n">
        <v>4</v>
      </c>
      <c r="I280" s="11" t="n">
        <v>89</v>
      </c>
      <c r="J280" s="12" t="n">
        <v>0.1</v>
      </c>
      <c r="K280" s="11">
        <f>H280*I280*(1-J280)</f>
        <v/>
      </c>
      <c r="L280" s="11" t="n">
        <v>42</v>
      </c>
      <c r="M280" s="11">
        <f>K280-(H280*L280)</f>
        <v/>
      </c>
      <c r="N280" s="11">
        <f>H280*11</f>
        <v/>
      </c>
    </row>
    <row r="281">
      <c r="A281" t="inlineStr">
        <is>
          <t>LL-00280</t>
        </is>
      </c>
      <c r="B281" s="10" t="n">
        <v>46206</v>
      </c>
      <c r="C281" t="inlineStr">
        <is>
          <t>Jul</t>
        </is>
      </c>
      <c r="D281" t="inlineStr">
        <is>
          <t>East</t>
        </is>
      </c>
      <c r="E281" t="inlineStr">
        <is>
          <t>Retail</t>
        </is>
      </c>
      <c r="F281" t="inlineStr">
        <is>
          <t>Halo Floor Lamp</t>
        </is>
      </c>
      <c r="G281" t="inlineStr">
        <is>
          <t>Lighting</t>
        </is>
      </c>
      <c r="H281" t="n">
        <v>2</v>
      </c>
      <c r="I281" s="11" t="n">
        <v>159</v>
      </c>
      <c r="J281" s="12" t="n">
        <v>0.15</v>
      </c>
      <c r="K281" s="11">
        <f>H281*I281*(1-J281)</f>
        <v/>
      </c>
      <c r="L281" s="11" t="n">
        <v>79</v>
      </c>
      <c r="M281" s="11">
        <f>K281-(H281*L281)</f>
        <v/>
      </c>
      <c r="N281" s="11">
        <f>H281*6</f>
        <v/>
      </c>
    </row>
    <row r="282">
      <c r="A282" t="inlineStr">
        <is>
          <t>LL-00281</t>
        </is>
      </c>
      <c r="B282" s="10" t="n">
        <v>46298</v>
      </c>
      <c r="C282" t="inlineStr">
        <is>
          <t>Oct</t>
        </is>
      </c>
      <c r="D282" t="inlineStr">
        <is>
          <t>North</t>
        </is>
      </c>
      <c r="E282" t="inlineStr">
        <is>
          <t>Online</t>
        </is>
      </c>
      <c r="F282" t="inlineStr">
        <is>
          <t>Nest Basket</t>
        </is>
      </c>
      <c r="G282" t="inlineStr">
        <is>
          <t>Living</t>
        </is>
      </c>
      <c r="H282" t="n">
        <v>3</v>
      </c>
      <c r="I282" s="11" t="n">
        <v>55</v>
      </c>
      <c r="J282" s="12" t="n">
        <v>0</v>
      </c>
      <c r="K282" s="11">
        <f>H282*I282*(1-J282)</f>
        <v/>
      </c>
      <c r="L282" s="11" t="n">
        <v>24</v>
      </c>
      <c r="M282" s="11">
        <f>K282-(H282*L282)</f>
        <v/>
      </c>
      <c r="N282" s="11">
        <f>H282*11</f>
        <v/>
      </c>
    </row>
    <row r="283">
      <c r="A283" t="inlineStr">
        <is>
          <t>LL-00282</t>
        </is>
      </c>
      <c r="B283" s="10" t="n">
        <v>46375</v>
      </c>
      <c r="C283" t="inlineStr">
        <is>
          <t>Dec</t>
        </is>
      </c>
      <c r="D283" t="inlineStr">
        <is>
          <t>East</t>
        </is>
      </c>
      <c r="E283" t="inlineStr">
        <is>
          <t>Retail</t>
        </is>
      </c>
      <c r="F283" t="inlineStr">
        <is>
          <t>Luna Throw</t>
        </is>
      </c>
      <c r="G283" t="inlineStr">
        <is>
          <t>Living</t>
        </is>
      </c>
      <c r="H283" t="n">
        <v>5</v>
      </c>
      <c r="I283" s="11" t="n">
        <v>69</v>
      </c>
      <c r="J283" s="12" t="n">
        <v>0.1</v>
      </c>
      <c r="K283" s="11">
        <f>H283*I283*(1-J283)</f>
        <v/>
      </c>
      <c r="L283" s="11" t="n">
        <v>31</v>
      </c>
      <c r="M283" s="11">
        <f>K283-(H283*L283)</f>
        <v/>
      </c>
      <c r="N283" s="11">
        <f>H283*6</f>
        <v/>
      </c>
    </row>
    <row r="284">
      <c r="A284" t="inlineStr">
        <is>
          <t>LL-00283</t>
        </is>
      </c>
      <c r="B284" s="10" t="n">
        <v>46170</v>
      </c>
      <c r="C284" t="inlineStr">
        <is>
          <t>May</t>
        </is>
      </c>
      <c r="D284" t="inlineStr">
        <is>
          <t>North</t>
        </is>
      </c>
      <c r="E284" t="inlineStr">
        <is>
          <t>Retail</t>
        </is>
      </c>
      <c r="F284" t="inlineStr">
        <is>
          <t>Nest Basket</t>
        </is>
      </c>
      <c r="G284" t="inlineStr">
        <is>
          <t>Living</t>
        </is>
      </c>
      <c r="H284" t="n">
        <v>6</v>
      </c>
      <c r="I284" s="11" t="n">
        <v>55</v>
      </c>
      <c r="J284" s="12" t="n">
        <v>0</v>
      </c>
      <c r="K284" s="11">
        <f>H284*I284*(1-J284)</f>
        <v/>
      </c>
      <c r="L284" s="11" t="n">
        <v>24</v>
      </c>
      <c r="M284" s="11">
        <f>K284-(H284*L284)</f>
        <v/>
      </c>
      <c r="N284" s="11">
        <f>H284*6</f>
        <v/>
      </c>
    </row>
    <row r="285">
      <c r="A285" t="inlineStr">
        <is>
          <t>LL-00284</t>
        </is>
      </c>
      <c r="B285" s="10" t="n">
        <v>46218</v>
      </c>
      <c r="C285" t="inlineStr">
        <is>
          <t>Jul</t>
        </is>
      </c>
      <c r="D285" t="inlineStr">
        <is>
          <t>East</t>
        </is>
      </c>
      <c r="E285" t="inlineStr">
        <is>
          <t>Retail</t>
        </is>
      </c>
      <c r="F285" t="inlineStr">
        <is>
          <t>Nest Basket</t>
        </is>
      </c>
      <c r="G285" t="inlineStr">
        <is>
          <t>Living</t>
        </is>
      </c>
      <c r="H285" t="n">
        <v>8</v>
      </c>
      <c r="I285" s="11" t="n">
        <v>55</v>
      </c>
      <c r="J285" s="12" t="n">
        <v>0.1</v>
      </c>
      <c r="K285" s="11">
        <f>H285*I285*(1-J285)</f>
        <v/>
      </c>
      <c r="L285" s="11" t="n">
        <v>24</v>
      </c>
      <c r="M285" s="11">
        <f>K285-(H285*L285)</f>
        <v/>
      </c>
      <c r="N285" s="11">
        <f>H285*6</f>
        <v/>
      </c>
    </row>
    <row r="286">
      <c r="A286" t="inlineStr">
        <is>
          <t>LL-00285</t>
        </is>
      </c>
      <c r="B286" s="10" t="n">
        <v>46305</v>
      </c>
      <c r="C286" t="inlineStr">
        <is>
          <t>Oct</t>
        </is>
      </c>
      <c r="D286" t="inlineStr">
        <is>
          <t>West</t>
        </is>
      </c>
      <c r="E286" t="inlineStr">
        <is>
          <t>Marketplace</t>
        </is>
      </c>
      <c r="F286" t="inlineStr">
        <is>
          <t>Arc Side Table</t>
        </is>
      </c>
      <c r="G286" t="inlineStr">
        <is>
          <t>Living</t>
        </is>
      </c>
      <c r="H286" t="n">
        <v>7</v>
      </c>
      <c r="I286" s="11" t="n">
        <v>139</v>
      </c>
      <c r="J286" s="12" t="n">
        <v>0.1</v>
      </c>
      <c r="K286" s="11">
        <f>H286*I286*(1-J286)</f>
        <v/>
      </c>
      <c r="L286" s="11" t="n">
        <v>72</v>
      </c>
      <c r="M286" s="11">
        <f>K286-(H286*L286)</f>
        <v/>
      </c>
      <c r="N286" s="11">
        <f>H286*15</f>
        <v/>
      </c>
    </row>
    <row r="287">
      <c r="A287" t="inlineStr">
        <is>
          <t>LL-00286</t>
        </is>
      </c>
      <c r="B287" s="10" t="n">
        <v>46128</v>
      </c>
      <c r="C287" t="inlineStr">
        <is>
          <t>Apr</t>
        </is>
      </c>
      <c r="D287" t="inlineStr">
        <is>
          <t>North</t>
        </is>
      </c>
      <c r="E287" t="inlineStr">
        <is>
          <t>Retail</t>
        </is>
      </c>
      <c r="F287" t="inlineStr">
        <is>
          <t>Nest Basket</t>
        </is>
      </c>
      <c r="G287" t="inlineStr">
        <is>
          <t>Living</t>
        </is>
      </c>
      <c r="H287" t="n">
        <v>1</v>
      </c>
      <c r="I287" s="11" t="n">
        <v>55</v>
      </c>
      <c r="J287" s="12" t="n">
        <v>0.1</v>
      </c>
      <c r="K287" s="11">
        <f>H287*I287*(1-J287)</f>
        <v/>
      </c>
      <c r="L287" s="11" t="n">
        <v>24</v>
      </c>
      <c r="M287" s="11">
        <f>K287-(H287*L287)</f>
        <v/>
      </c>
      <c r="N287" s="11">
        <f>H287*6</f>
        <v/>
      </c>
    </row>
    <row r="288">
      <c r="A288" t="inlineStr">
        <is>
          <t>LL-00287</t>
        </is>
      </c>
      <c r="B288" s="10" t="n">
        <v>46151</v>
      </c>
      <c r="C288" t="inlineStr">
        <is>
          <t>May</t>
        </is>
      </c>
      <c r="D288" t="inlineStr">
        <is>
          <t>East</t>
        </is>
      </c>
      <c r="E288" t="inlineStr">
        <is>
          <t>Online</t>
        </is>
      </c>
      <c r="F288" t="inlineStr">
        <is>
          <t>Luna Throw</t>
        </is>
      </c>
      <c r="G288" t="inlineStr">
        <is>
          <t>Living</t>
        </is>
      </c>
      <c r="H288" t="n">
        <v>5</v>
      </c>
      <c r="I288" s="11" t="n">
        <v>69</v>
      </c>
      <c r="J288" s="12" t="n">
        <v>0.05</v>
      </c>
      <c r="K288" s="11">
        <f>H288*I288*(1-J288)</f>
        <v/>
      </c>
      <c r="L288" s="11" t="n">
        <v>31</v>
      </c>
      <c r="M288" s="11">
        <f>K288-(H288*L288)</f>
        <v/>
      </c>
      <c r="N288" s="11">
        <f>H288*11</f>
        <v/>
      </c>
    </row>
    <row r="289">
      <c r="A289" t="inlineStr">
        <is>
          <t>LL-00288</t>
        </is>
      </c>
      <c r="B289" s="10" t="n">
        <v>46167</v>
      </c>
      <c r="C289" t="inlineStr">
        <is>
          <t>May</t>
        </is>
      </c>
      <c r="D289" t="inlineStr">
        <is>
          <t>North</t>
        </is>
      </c>
      <c r="E289" t="inlineStr">
        <is>
          <t>Marketplace</t>
        </is>
      </c>
      <c r="F289" t="inlineStr">
        <is>
          <t>Halo Floor Lamp</t>
        </is>
      </c>
      <c r="G289" t="inlineStr">
        <is>
          <t>Lighting</t>
        </is>
      </c>
      <c r="H289" t="n">
        <v>3</v>
      </c>
      <c r="I289" s="11" t="n">
        <v>159</v>
      </c>
      <c r="J289" s="12" t="n">
        <v>0.15</v>
      </c>
      <c r="K289" s="11">
        <f>H289*I289*(1-J289)</f>
        <v/>
      </c>
      <c r="L289" s="11" t="n">
        <v>79</v>
      </c>
      <c r="M289" s="11">
        <f>K289-(H289*L289)</f>
        <v/>
      </c>
      <c r="N289" s="11">
        <f>H289*15</f>
        <v/>
      </c>
    </row>
    <row r="290">
      <c r="A290" t="inlineStr">
        <is>
          <t>LL-00289</t>
        </is>
      </c>
      <c r="B290" s="10" t="n">
        <v>46051</v>
      </c>
      <c r="C290" t="inlineStr">
        <is>
          <t>Jan</t>
        </is>
      </c>
      <c r="D290" t="inlineStr">
        <is>
          <t>North</t>
        </is>
      </c>
      <c r="E290" t="inlineStr">
        <is>
          <t>Online</t>
        </is>
      </c>
      <c r="F290" t="inlineStr">
        <is>
          <t>Aurora Desk Lamp</t>
        </is>
      </c>
      <c r="G290" t="inlineStr">
        <is>
          <t>Lighting</t>
        </is>
      </c>
      <c r="H290" t="n">
        <v>2</v>
      </c>
      <c r="I290" s="11" t="n">
        <v>89</v>
      </c>
      <c r="J290" s="12" t="n">
        <v>0.15</v>
      </c>
      <c r="K290" s="11">
        <f>H290*I290*(1-J290)</f>
        <v/>
      </c>
      <c r="L290" s="11" t="n">
        <v>42</v>
      </c>
      <c r="M290" s="11">
        <f>K290-(H290*L290)</f>
        <v/>
      </c>
      <c r="N290" s="11">
        <f>H290*11</f>
        <v/>
      </c>
    </row>
    <row r="291">
      <c r="A291" t="inlineStr">
        <is>
          <t>LL-00290</t>
        </is>
      </c>
      <c r="B291" s="10" t="n">
        <v>46066</v>
      </c>
      <c r="C291" t="inlineStr">
        <is>
          <t>Feb</t>
        </is>
      </c>
      <c r="D291" t="inlineStr">
        <is>
          <t>North</t>
        </is>
      </c>
      <c r="E291" t="inlineStr">
        <is>
          <t>Marketplace</t>
        </is>
      </c>
      <c r="F291" t="inlineStr">
        <is>
          <t>Aurora Desk Lamp</t>
        </is>
      </c>
      <c r="G291" t="inlineStr">
        <is>
          <t>Lighting</t>
        </is>
      </c>
      <c r="H291" t="n">
        <v>8</v>
      </c>
      <c r="I291" s="11" t="n">
        <v>89</v>
      </c>
      <c r="J291" s="12" t="n">
        <v>0.1</v>
      </c>
      <c r="K291" s="11">
        <f>H291*I291*(1-J291)</f>
        <v/>
      </c>
      <c r="L291" s="11" t="n">
        <v>42</v>
      </c>
      <c r="M291" s="11">
        <f>K291-(H291*L291)</f>
        <v/>
      </c>
      <c r="N291" s="11">
        <f>H291*15</f>
        <v/>
      </c>
    </row>
    <row r="292">
      <c r="A292" t="inlineStr">
        <is>
          <t>LL-00291</t>
        </is>
      </c>
      <c r="B292" s="10" t="n">
        <v>46192</v>
      </c>
      <c r="C292" t="inlineStr">
        <is>
          <t>Jun</t>
        </is>
      </c>
      <c r="D292" t="inlineStr">
        <is>
          <t>West</t>
        </is>
      </c>
      <c r="E292" t="inlineStr">
        <is>
          <t>Online</t>
        </is>
      </c>
      <c r="F292" t="inlineStr">
        <is>
          <t>Halo Floor Lamp</t>
        </is>
      </c>
      <c r="G292" t="inlineStr">
        <is>
          <t>Lighting</t>
        </is>
      </c>
      <c r="H292" t="n">
        <v>3</v>
      </c>
      <c r="I292" s="11" t="n">
        <v>159</v>
      </c>
      <c r="J292" s="12" t="n">
        <v>0.1</v>
      </c>
      <c r="K292" s="11">
        <f>H292*I292*(1-J292)</f>
        <v/>
      </c>
      <c r="L292" s="11" t="n">
        <v>79</v>
      </c>
      <c r="M292" s="11">
        <f>K292-(H292*L292)</f>
        <v/>
      </c>
      <c r="N292" s="11">
        <f>H292*11</f>
        <v/>
      </c>
    </row>
    <row r="293">
      <c r="A293" t="inlineStr">
        <is>
          <t>LL-00292</t>
        </is>
      </c>
      <c r="B293" s="10" t="n">
        <v>46294</v>
      </c>
      <c r="C293" t="inlineStr">
        <is>
          <t>Sep</t>
        </is>
      </c>
      <c r="D293" t="inlineStr">
        <is>
          <t>North</t>
        </is>
      </c>
      <c r="E293" t="inlineStr">
        <is>
          <t>Marketplace</t>
        </is>
      </c>
      <c r="F293" t="inlineStr">
        <is>
          <t>Halo Floor Lamp</t>
        </is>
      </c>
      <c r="G293" t="inlineStr">
        <is>
          <t>Lighting</t>
        </is>
      </c>
      <c r="H293" t="n">
        <v>8</v>
      </c>
      <c r="I293" s="11" t="n">
        <v>159</v>
      </c>
      <c r="J293" s="12" t="n">
        <v>0</v>
      </c>
      <c r="K293" s="11">
        <f>H293*I293*(1-J293)</f>
        <v/>
      </c>
      <c r="L293" s="11" t="n">
        <v>79</v>
      </c>
      <c r="M293" s="11">
        <f>K293-(H293*L293)</f>
        <v/>
      </c>
      <c r="N293" s="11">
        <f>H293*15</f>
        <v/>
      </c>
    </row>
    <row r="294">
      <c r="A294" t="inlineStr">
        <is>
          <t>LL-00293</t>
        </is>
      </c>
      <c r="B294" s="10" t="n">
        <v>46031</v>
      </c>
      <c r="C294" t="inlineStr">
        <is>
          <t>Jan</t>
        </is>
      </c>
      <c r="D294" t="inlineStr">
        <is>
          <t>North</t>
        </is>
      </c>
      <c r="E294" t="inlineStr">
        <is>
          <t>Online</t>
        </is>
      </c>
      <c r="F294" t="inlineStr">
        <is>
          <t>Focus Monitor Stand</t>
        </is>
      </c>
      <c r="G294" t="inlineStr">
        <is>
          <t>Workspace</t>
        </is>
      </c>
      <c r="H294" t="n">
        <v>1</v>
      </c>
      <c r="I294" s="11" t="n">
        <v>79</v>
      </c>
      <c r="J294" s="12" t="n">
        <v>0</v>
      </c>
      <c r="K294" s="11">
        <f>H294*I294*(1-J294)</f>
        <v/>
      </c>
      <c r="L294" s="11" t="n">
        <v>36</v>
      </c>
      <c r="M294" s="11">
        <f>K294-(H294*L294)</f>
        <v/>
      </c>
      <c r="N294" s="11">
        <f>H294*11</f>
        <v/>
      </c>
    </row>
    <row r="295">
      <c r="A295" t="inlineStr">
        <is>
          <t>LL-00294</t>
        </is>
      </c>
      <c r="B295" s="10" t="n">
        <v>46255</v>
      </c>
      <c r="C295" t="inlineStr">
        <is>
          <t>Aug</t>
        </is>
      </c>
      <c r="D295" t="inlineStr">
        <is>
          <t>South</t>
        </is>
      </c>
      <c r="E295" t="inlineStr">
        <is>
          <t>Online</t>
        </is>
      </c>
      <c r="F295" t="inlineStr">
        <is>
          <t>Nest Basket</t>
        </is>
      </c>
      <c r="G295" t="inlineStr">
        <is>
          <t>Living</t>
        </is>
      </c>
      <c r="H295" t="n">
        <v>8</v>
      </c>
      <c r="I295" s="11" t="n">
        <v>55</v>
      </c>
      <c r="J295" s="12" t="n">
        <v>0</v>
      </c>
      <c r="K295" s="11">
        <f>H295*I295*(1-J295)</f>
        <v/>
      </c>
      <c r="L295" s="11" t="n">
        <v>24</v>
      </c>
      <c r="M295" s="11">
        <f>K295-(H295*L295)</f>
        <v/>
      </c>
      <c r="N295" s="11">
        <f>H295*11</f>
        <v/>
      </c>
    </row>
    <row r="296">
      <c r="A296" t="inlineStr">
        <is>
          <t>LL-00295</t>
        </is>
      </c>
      <c r="B296" s="10" t="n">
        <v>46073</v>
      </c>
      <c r="C296" t="inlineStr">
        <is>
          <t>Feb</t>
        </is>
      </c>
      <c r="D296" t="inlineStr">
        <is>
          <t>West</t>
        </is>
      </c>
      <c r="E296" t="inlineStr">
        <is>
          <t>Marketplace</t>
        </is>
      </c>
      <c r="F296" t="inlineStr">
        <is>
          <t>Arc Side Table</t>
        </is>
      </c>
      <c r="G296" t="inlineStr">
        <is>
          <t>Living</t>
        </is>
      </c>
      <c r="H296" t="n">
        <v>2</v>
      </c>
      <c r="I296" s="11" t="n">
        <v>139</v>
      </c>
      <c r="J296" s="12" t="n">
        <v>0.2</v>
      </c>
      <c r="K296" s="11">
        <f>H296*I296*(1-J296)</f>
        <v/>
      </c>
      <c r="L296" s="11" t="n">
        <v>72</v>
      </c>
      <c r="M296" s="11">
        <f>K296-(H296*L296)</f>
        <v/>
      </c>
      <c r="N296" s="11">
        <f>H296*15</f>
        <v/>
      </c>
    </row>
    <row r="297">
      <c r="A297" t="inlineStr">
        <is>
          <t>LL-00296</t>
        </is>
      </c>
      <c r="B297" s="10" t="n">
        <v>46077</v>
      </c>
      <c r="C297" t="inlineStr">
        <is>
          <t>Feb</t>
        </is>
      </c>
      <c r="D297" t="inlineStr">
        <is>
          <t>North</t>
        </is>
      </c>
      <c r="E297" t="inlineStr">
        <is>
          <t>Marketplace</t>
        </is>
      </c>
      <c r="F297" t="inlineStr">
        <is>
          <t>Arc Side Table</t>
        </is>
      </c>
      <c r="G297" t="inlineStr">
        <is>
          <t>Living</t>
        </is>
      </c>
      <c r="H297" t="n">
        <v>1</v>
      </c>
      <c r="I297" s="11" t="n">
        <v>139</v>
      </c>
      <c r="J297" s="12" t="n">
        <v>0.05</v>
      </c>
      <c r="K297" s="11">
        <f>H297*I297*(1-J297)</f>
        <v/>
      </c>
      <c r="L297" s="11" t="n">
        <v>72</v>
      </c>
      <c r="M297" s="11">
        <f>K297-(H297*L297)</f>
        <v/>
      </c>
      <c r="N297" s="11">
        <f>H297*15</f>
        <v/>
      </c>
    </row>
    <row r="298">
      <c r="A298" t="inlineStr">
        <is>
          <t>LL-00297</t>
        </is>
      </c>
      <c r="B298" s="10" t="n">
        <v>46075</v>
      </c>
      <c r="C298" t="inlineStr">
        <is>
          <t>Feb</t>
        </is>
      </c>
      <c r="D298" t="inlineStr">
        <is>
          <t>West</t>
        </is>
      </c>
      <c r="E298" t="inlineStr">
        <is>
          <t>Marketplace</t>
        </is>
      </c>
      <c r="F298" t="inlineStr">
        <is>
          <t>Focus Monitor Stand</t>
        </is>
      </c>
      <c r="G298" t="inlineStr">
        <is>
          <t>Workspace</t>
        </is>
      </c>
      <c r="H298" t="n">
        <v>2</v>
      </c>
      <c r="I298" s="11" t="n">
        <v>79</v>
      </c>
      <c r="J298" s="12" t="n">
        <v>0</v>
      </c>
      <c r="K298" s="11">
        <f>H298*I298*(1-J298)</f>
        <v/>
      </c>
      <c r="L298" s="11" t="n">
        <v>36</v>
      </c>
      <c r="M298" s="11">
        <f>K298-(H298*L298)</f>
        <v/>
      </c>
      <c r="N298" s="11">
        <f>H298*15</f>
        <v/>
      </c>
    </row>
    <row r="299">
      <c r="A299" t="inlineStr">
        <is>
          <t>LL-00298</t>
        </is>
      </c>
      <c r="B299" s="10" t="n">
        <v>46047</v>
      </c>
      <c r="C299" t="inlineStr">
        <is>
          <t>Jan</t>
        </is>
      </c>
      <c r="D299" t="inlineStr">
        <is>
          <t>South</t>
        </is>
      </c>
      <c r="E299" t="inlineStr">
        <is>
          <t>Online</t>
        </is>
      </c>
      <c r="F299" t="inlineStr">
        <is>
          <t>Arc Side Table</t>
        </is>
      </c>
      <c r="G299" t="inlineStr">
        <is>
          <t>Living</t>
        </is>
      </c>
      <c r="H299" t="n">
        <v>8</v>
      </c>
      <c r="I299" s="11" t="n">
        <v>139</v>
      </c>
      <c r="J299" s="12" t="n">
        <v>0</v>
      </c>
      <c r="K299" s="11">
        <f>H299*I299*(1-J299)</f>
        <v/>
      </c>
      <c r="L299" s="11" t="n">
        <v>72</v>
      </c>
      <c r="M299" s="11">
        <f>K299-(H299*L299)</f>
        <v/>
      </c>
      <c r="N299" s="11">
        <f>H299*11</f>
        <v/>
      </c>
    </row>
    <row r="300">
      <c r="A300" t="inlineStr">
        <is>
          <t>LL-00299</t>
        </is>
      </c>
      <c r="B300" s="10" t="n">
        <v>46232</v>
      </c>
      <c r="C300" t="inlineStr">
        <is>
          <t>Jul</t>
        </is>
      </c>
      <c r="D300" t="inlineStr">
        <is>
          <t>North</t>
        </is>
      </c>
      <c r="E300" t="inlineStr">
        <is>
          <t>Retail</t>
        </is>
      </c>
      <c r="F300" t="inlineStr">
        <is>
          <t>Luna Throw</t>
        </is>
      </c>
      <c r="G300" t="inlineStr">
        <is>
          <t>Living</t>
        </is>
      </c>
      <c r="H300" t="n">
        <v>2</v>
      </c>
      <c r="I300" s="11" t="n">
        <v>69</v>
      </c>
      <c r="J300" s="12" t="n">
        <v>0.15</v>
      </c>
      <c r="K300" s="11">
        <f>H300*I300*(1-J300)</f>
        <v/>
      </c>
      <c r="L300" s="11" t="n">
        <v>31</v>
      </c>
      <c r="M300" s="11">
        <f>K300-(H300*L300)</f>
        <v/>
      </c>
      <c r="N300" s="11">
        <f>H300*6</f>
        <v/>
      </c>
    </row>
    <row r="301">
      <c r="A301" t="inlineStr">
        <is>
          <t>LL-00300</t>
        </is>
      </c>
      <c r="B301" s="10" t="n">
        <v>46093</v>
      </c>
      <c r="C301" t="inlineStr">
        <is>
          <t>Mar</t>
        </is>
      </c>
      <c r="D301" t="inlineStr">
        <is>
          <t>North</t>
        </is>
      </c>
      <c r="E301" t="inlineStr">
        <is>
          <t>Retail</t>
        </is>
      </c>
      <c r="F301" t="inlineStr">
        <is>
          <t>Halo Floor Lamp</t>
        </is>
      </c>
      <c r="G301" t="inlineStr">
        <is>
          <t>Lighting</t>
        </is>
      </c>
      <c r="H301" t="n">
        <v>2</v>
      </c>
      <c r="I301" s="11" t="n">
        <v>159</v>
      </c>
      <c r="J301" s="12" t="n">
        <v>0.1</v>
      </c>
      <c r="K301" s="11">
        <f>H301*I301*(1-J301)</f>
        <v/>
      </c>
      <c r="L301" s="11" t="n">
        <v>79</v>
      </c>
      <c r="M301" s="11">
        <f>K301-(H301*L301)</f>
        <v/>
      </c>
      <c r="N301" s="11">
        <f>H301*6</f>
        <v/>
      </c>
    </row>
    <row r="302">
      <c r="A302" t="inlineStr">
        <is>
          <t>LL-00301</t>
        </is>
      </c>
      <c r="B302" s="10" t="n">
        <v>46337</v>
      </c>
      <c r="C302" t="inlineStr">
        <is>
          <t>Nov</t>
        </is>
      </c>
      <c r="D302" t="inlineStr">
        <is>
          <t>South</t>
        </is>
      </c>
      <c r="E302" t="inlineStr">
        <is>
          <t>Retail</t>
        </is>
      </c>
      <c r="F302" t="inlineStr">
        <is>
          <t>Nest Basket</t>
        </is>
      </c>
      <c r="G302" t="inlineStr">
        <is>
          <t>Living</t>
        </is>
      </c>
      <c r="H302" t="n">
        <v>1</v>
      </c>
      <c r="I302" s="11" t="n">
        <v>55</v>
      </c>
      <c r="J302" s="12" t="n">
        <v>0.05</v>
      </c>
      <c r="K302" s="11">
        <f>H302*I302*(1-J302)</f>
        <v/>
      </c>
      <c r="L302" s="11" t="n">
        <v>24</v>
      </c>
      <c r="M302" s="11">
        <f>K302-(H302*L302)</f>
        <v/>
      </c>
      <c r="N302" s="11">
        <f>H302*6</f>
        <v/>
      </c>
    </row>
    <row r="303">
      <c r="A303" t="inlineStr">
        <is>
          <t>LL-00302</t>
        </is>
      </c>
      <c r="B303" s="10" t="n">
        <v>46212</v>
      </c>
      <c r="C303" t="inlineStr">
        <is>
          <t>Jul</t>
        </is>
      </c>
      <c r="D303" t="inlineStr">
        <is>
          <t>West</t>
        </is>
      </c>
      <c r="E303" t="inlineStr">
        <is>
          <t>Online</t>
        </is>
      </c>
      <c r="F303" t="inlineStr">
        <is>
          <t>Nest Basket</t>
        </is>
      </c>
      <c r="G303" t="inlineStr">
        <is>
          <t>Living</t>
        </is>
      </c>
      <c r="H303" t="n">
        <v>3</v>
      </c>
      <c r="I303" s="11" t="n">
        <v>55</v>
      </c>
      <c r="J303" s="12" t="n">
        <v>0.1</v>
      </c>
      <c r="K303" s="11">
        <f>H303*I303*(1-J303)</f>
        <v/>
      </c>
      <c r="L303" s="11" t="n">
        <v>24</v>
      </c>
      <c r="M303" s="11">
        <f>K303-(H303*L303)</f>
        <v/>
      </c>
      <c r="N303" s="11">
        <f>H303*11</f>
        <v/>
      </c>
    </row>
    <row r="304">
      <c r="A304" t="inlineStr">
        <is>
          <t>LL-00303</t>
        </is>
      </c>
      <c r="B304" s="10" t="n">
        <v>46374</v>
      </c>
      <c r="C304" t="inlineStr">
        <is>
          <t>Dec</t>
        </is>
      </c>
      <c r="D304" t="inlineStr">
        <is>
          <t>North</t>
        </is>
      </c>
      <c r="E304" t="inlineStr">
        <is>
          <t>Retail</t>
        </is>
      </c>
      <c r="F304" t="inlineStr">
        <is>
          <t>Aurora Desk Lamp</t>
        </is>
      </c>
      <c r="G304" t="inlineStr">
        <is>
          <t>Lighting</t>
        </is>
      </c>
      <c r="H304" t="n">
        <v>7</v>
      </c>
      <c r="I304" s="11" t="n">
        <v>89</v>
      </c>
      <c r="J304" s="12" t="n">
        <v>0.15</v>
      </c>
      <c r="K304" s="11">
        <f>H304*I304*(1-J304)</f>
        <v/>
      </c>
      <c r="L304" s="11" t="n">
        <v>42</v>
      </c>
      <c r="M304" s="11">
        <f>K304-(H304*L304)</f>
        <v/>
      </c>
      <c r="N304" s="11">
        <f>H304*6</f>
        <v/>
      </c>
    </row>
    <row r="305">
      <c r="A305" t="inlineStr">
        <is>
          <t>LL-00304</t>
        </is>
      </c>
      <c r="B305" s="10" t="n">
        <v>46384</v>
      </c>
      <c r="C305" t="inlineStr">
        <is>
          <t>Dec</t>
        </is>
      </c>
      <c r="D305" t="inlineStr">
        <is>
          <t>North</t>
        </is>
      </c>
      <c r="E305" t="inlineStr">
        <is>
          <t>Marketplace</t>
        </is>
      </c>
      <c r="F305" t="inlineStr">
        <is>
          <t>Nest Basket</t>
        </is>
      </c>
      <c r="G305" t="inlineStr">
        <is>
          <t>Living</t>
        </is>
      </c>
      <c r="H305" t="n">
        <v>2</v>
      </c>
      <c r="I305" s="11" t="n">
        <v>55</v>
      </c>
      <c r="J305" s="12" t="n">
        <v>0.1</v>
      </c>
      <c r="K305" s="11">
        <f>H305*I305*(1-J305)</f>
        <v/>
      </c>
      <c r="L305" s="11" t="n">
        <v>24</v>
      </c>
      <c r="M305" s="11">
        <f>K305-(H305*L305)</f>
        <v/>
      </c>
      <c r="N305" s="11">
        <f>H305*15</f>
        <v/>
      </c>
    </row>
    <row r="306">
      <c r="A306" t="inlineStr">
        <is>
          <t>LL-00305</t>
        </is>
      </c>
      <c r="B306" s="10" t="n">
        <v>46255</v>
      </c>
      <c r="C306" t="inlineStr">
        <is>
          <t>Aug</t>
        </is>
      </c>
      <c r="D306" t="inlineStr">
        <is>
          <t>West</t>
        </is>
      </c>
      <c r="E306" t="inlineStr">
        <is>
          <t>Retail</t>
        </is>
      </c>
      <c r="F306" t="inlineStr">
        <is>
          <t>Aurora Desk Lamp</t>
        </is>
      </c>
      <c r="G306" t="inlineStr">
        <is>
          <t>Lighting</t>
        </is>
      </c>
      <c r="H306" t="n">
        <v>4</v>
      </c>
      <c r="I306" s="11" t="n">
        <v>89</v>
      </c>
      <c r="J306" s="12" t="n">
        <v>0.15</v>
      </c>
      <c r="K306" s="11">
        <f>H306*I306*(1-J306)</f>
        <v/>
      </c>
      <c r="L306" s="11" t="n">
        <v>42</v>
      </c>
      <c r="M306" s="11">
        <f>K306-(H306*L306)</f>
        <v/>
      </c>
      <c r="N306" s="11">
        <f>H306*6</f>
        <v/>
      </c>
    </row>
    <row r="307">
      <c r="A307" t="inlineStr">
        <is>
          <t>LL-00306</t>
        </is>
      </c>
      <c r="B307" s="10" t="n">
        <v>46308</v>
      </c>
      <c r="C307" t="inlineStr">
        <is>
          <t>Oct</t>
        </is>
      </c>
      <c r="D307" t="inlineStr">
        <is>
          <t>West</t>
        </is>
      </c>
      <c r="E307" t="inlineStr">
        <is>
          <t>Retail</t>
        </is>
      </c>
      <c r="F307" t="inlineStr">
        <is>
          <t>Focus Monitor Stand</t>
        </is>
      </c>
      <c r="G307" t="inlineStr">
        <is>
          <t>Workspace</t>
        </is>
      </c>
      <c r="H307" t="n">
        <v>3</v>
      </c>
      <c r="I307" s="11" t="n">
        <v>79</v>
      </c>
      <c r="J307" s="12" t="n">
        <v>0.1</v>
      </c>
      <c r="K307" s="11">
        <f>H307*I307*(1-J307)</f>
        <v/>
      </c>
      <c r="L307" s="11" t="n">
        <v>36</v>
      </c>
      <c r="M307" s="11">
        <f>K307-(H307*L307)</f>
        <v/>
      </c>
      <c r="N307" s="11">
        <f>H307*6</f>
        <v/>
      </c>
    </row>
    <row r="308">
      <c r="A308" t="inlineStr">
        <is>
          <t>LL-00307</t>
        </is>
      </c>
      <c r="B308" s="10" t="n">
        <v>46303</v>
      </c>
      <c r="C308" t="inlineStr">
        <is>
          <t>Oct</t>
        </is>
      </c>
      <c r="D308" t="inlineStr">
        <is>
          <t>North</t>
        </is>
      </c>
      <c r="E308" t="inlineStr">
        <is>
          <t>Online</t>
        </is>
      </c>
      <c r="F308" t="inlineStr">
        <is>
          <t>Aurora Desk Lamp</t>
        </is>
      </c>
      <c r="G308" t="inlineStr">
        <is>
          <t>Lighting</t>
        </is>
      </c>
      <c r="H308" t="n">
        <v>6</v>
      </c>
      <c r="I308" s="11" t="n">
        <v>89</v>
      </c>
      <c r="J308" s="12" t="n">
        <v>0.1</v>
      </c>
      <c r="K308" s="11">
        <f>H308*I308*(1-J308)</f>
        <v/>
      </c>
      <c r="L308" s="11" t="n">
        <v>42</v>
      </c>
      <c r="M308" s="11">
        <f>K308-(H308*L308)</f>
        <v/>
      </c>
      <c r="N308" s="11">
        <f>H308*11</f>
        <v/>
      </c>
    </row>
    <row r="309">
      <c r="A309" t="inlineStr">
        <is>
          <t>LL-00308</t>
        </is>
      </c>
      <c r="B309" s="10" t="n">
        <v>46313</v>
      </c>
      <c r="C309" t="inlineStr">
        <is>
          <t>Oct</t>
        </is>
      </c>
      <c r="D309" t="inlineStr">
        <is>
          <t>East</t>
        </is>
      </c>
      <c r="E309" t="inlineStr">
        <is>
          <t>Retail</t>
        </is>
      </c>
      <c r="F309" t="inlineStr">
        <is>
          <t>Aurora Desk Lamp</t>
        </is>
      </c>
      <c r="G309" t="inlineStr">
        <is>
          <t>Lighting</t>
        </is>
      </c>
      <c r="H309" t="n">
        <v>7</v>
      </c>
      <c r="I309" s="11" t="n">
        <v>89</v>
      </c>
      <c r="J309" s="12" t="n">
        <v>0.1</v>
      </c>
      <c r="K309" s="11">
        <f>H309*I309*(1-J309)</f>
        <v/>
      </c>
      <c r="L309" s="11" t="n">
        <v>42</v>
      </c>
      <c r="M309" s="11">
        <f>K309-(H309*L309)</f>
        <v/>
      </c>
      <c r="N309" s="11">
        <f>H309*6</f>
        <v/>
      </c>
    </row>
    <row r="310">
      <c r="A310" t="inlineStr">
        <is>
          <t>LL-00309</t>
        </is>
      </c>
      <c r="B310" s="10" t="n">
        <v>46041</v>
      </c>
      <c r="C310" t="inlineStr">
        <is>
          <t>Jan</t>
        </is>
      </c>
      <c r="D310" t="inlineStr">
        <is>
          <t>West</t>
        </is>
      </c>
      <c r="E310" t="inlineStr">
        <is>
          <t>Marketplace</t>
        </is>
      </c>
      <c r="F310" t="inlineStr">
        <is>
          <t>Aurora Desk Lamp</t>
        </is>
      </c>
      <c r="G310" t="inlineStr">
        <is>
          <t>Lighting</t>
        </is>
      </c>
      <c r="H310" t="n">
        <v>6</v>
      </c>
      <c r="I310" s="11" t="n">
        <v>89</v>
      </c>
      <c r="J310" s="12" t="n">
        <v>0.05</v>
      </c>
      <c r="K310" s="11">
        <f>H310*I310*(1-J310)</f>
        <v/>
      </c>
      <c r="L310" s="11" t="n">
        <v>42</v>
      </c>
      <c r="M310" s="11">
        <f>K310-(H310*L310)</f>
        <v/>
      </c>
      <c r="N310" s="11">
        <f>H310*15</f>
        <v/>
      </c>
    </row>
    <row r="311">
      <c r="A311" t="inlineStr">
        <is>
          <t>LL-00310</t>
        </is>
      </c>
      <c r="B311" s="10" t="n">
        <v>46141</v>
      </c>
      <c r="C311" t="inlineStr">
        <is>
          <t>Apr</t>
        </is>
      </c>
      <c r="D311" t="inlineStr">
        <is>
          <t>North</t>
        </is>
      </c>
      <c r="E311" t="inlineStr">
        <is>
          <t>Online</t>
        </is>
      </c>
      <c r="F311" t="inlineStr">
        <is>
          <t>Aurora Desk Lamp</t>
        </is>
      </c>
      <c r="G311" t="inlineStr">
        <is>
          <t>Lighting</t>
        </is>
      </c>
      <c r="H311" t="n">
        <v>2</v>
      </c>
      <c r="I311" s="11" t="n">
        <v>89</v>
      </c>
      <c r="J311" s="12" t="n">
        <v>0.05</v>
      </c>
      <c r="K311" s="11">
        <f>H311*I311*(1-J311)</f>
        <v/>
      </c>
      <c r="L311" s="11" t="n">
        <v>42</v>
      </c>
      <c r="M311" s="11">
        <f>K311-(H311*L311)</f>
        <v/>
      </c>
      <c r="N311" s="11">
        <f>H311*11</f>
        <v/>
      </c>
    </row>
    <row r="312">
      <c r="A312" t="inlineStr">
        <is>
          <t>LL-00311</t>
        </is>
      </c>
      <c r="B312" s="10" t="n">
        <v>46045</v>
      </c>
      <c r="C312" t="inlineStr">
        <is>
          <t>Jan</t>
        </is>
      </c>
      <c r="D312" t="inlineStr">
        <is>
          <t>South</t>
        </is>
      </c>
      <c r="E312" t="inlineStr">
        <is>
          <t>Marketplace</t>
        </is>
      </c>
      <c r="F312" t="inlineStr">
        <is>
          <t>Nest Basket</t>
        </is>
      </c>
      <c r="G312" t="inlineStr">
        <is>
          <t>Living</t>
        </is>
      </c>
      <c r="H312" t="n">
        <v>5</v>
      </c>
      <c r="I312" s="11" t="n">
        <v>55</v>
      </c>
      <c r="J312" s="12" t="n">
        <v>0</v>
      </c>
      <c r="K312" s="11">
        <f>H312*I312*(1-J312)</f>
        <v/>
      </c>
      <c r="L312" s="11" t="n">
        <v>24</v>
      </c>
      <c r="M312" s="11">
        <f>K312-(H312*L312)</f>
        <v/>
      </c>
      <c r="N312" s="11">
        <f>H312*15</f>
        <v/>
      </c>
    </row>
    <row r="313">
      <c r="A313" t="inlineStr">
        <is>
          <t>LL-00312</t>
        </is>
      </c>
      <c r="B313" s="10" t="n">
        <v>46099</v>
      </c>
      <c r="C313" t="inlineStr">
        <is>
          <t>Mar</t>
        </is>
      </c>
      <c r="D313" t="inlineStr">
        <is>
          <t>East</t>
        </is>
      </c>
      <c r="E313" t="inlineStr">
        <is>
          <t>Retail</t>
        </is>
      </c>
      <c r="F313" t="inlineStr">
        <is>
          <t>Luna Throw</t>
        </is>
      </c>
      <c r="G313" t="inlineStr">
        <is>
          <t>Living</t>
        </is>
      </c>
      <c r="H313" t="n">
        <v>5</v>
      </c>
      <c r="I313" s="11" t="n">
        <v>69</v>
      </c>
      <c r="J313" s="12" t="n">
        <v>0</v>
      </c>
      <c r="K313" s="11">
        <f>H313*I313*(1-J313)</f>
        <v/>
      </c>
      <c r="L313" s="11" t="n">
        <v>31</v>
      </c>
      <c r="M313" s="11">
        <f>K313-(H313*L313)</f>
        <v/>
      </c>
      <c r="N313" s="11">
        <f>H313*6</f>
        <v/>
      </c>
    </row>
    <row r="314">
      <c r="A314" t="inlineStr">
        <is>
          <t>LL-00313</t>
        </is>
      </c>
      <c r="B314" s="10" t="n">
        <v>46076</v>
      </c>
      <c r="C314" t="inlineStr">
        <is>
          <t>Feb</t>
        </is>
      </c>
      <c r="D314" t="inlineStr">
        <is>
          <t>North</t>
        </is>
      </c>
      <c r="E314" t="inlineStr">
        <is>
          <t>Marketplace</t>
        </is>
      </c>
      <c r="F314" t="inlineStr">
        <is>
          <t>Halo Floor Lamp</t>
        </is>
      </c>
      <c r="G314" t="inlineStr">
        <is>
          <t>Lighting</t>
        </is>
      </c>
      <c r="H314" t="n">
        <v>2</v>
      </c>
      <c r="I314" s="11" t="n">
        <v>159</v>
      </c>
      <c r="J314" s="12" t="n">
        <v>0.15</v>
      </c>
      <c r="K314" s="11">
        <f>H314*I314*(1-J314)</f>
        <v/>
      </c>
      <c r="L314" s="11" t="n">
        <v>79</v>
      </c>
      <c r="M314" s="11">
        <f>K314-(H314*L314)</f>
        <v/>
      </c>
      <c r="N314" s="11">
        <f>H314*15</f>
        <v/>
      </c>
    </row>
    <row r="315">
      <c r="A315" t="inlineStr">
        <is>
          <t>LL-00314</t>
        </is>
      </c>
      <c r="B315" s="10" t="n">
        <v>46154</v>
      </c>
      <c r="C315" t="inlineStr">
        <is>
          <t>May</t>
        </is>
      </c>
      <c r="D315" t="inlineStr">
        <is>
          <t>East</t>
        </is>
      </c>
      <c r="E315" t="inlineStr">
        <is>
          <t>Online</t>
        </is>
      </c>
      <c r="F315" t="inlineStr">
        <is>
          <t>Focus Monitor Stand</t>
        </is>
      </c>
      <c r="G315" t="inlineStr">
        <is>
          <t>Workspace</t>
        </is>
      </c>
      <c r="H315" t="n">
        <v>6</v>
      </c>
      <c r="I315" s="11" t="n">
        <v>79</v>
      </c>
      <c r="J315" s="12" t="n">
        <v>0.1</v>
      </c>
      <c r="K315" s="11">
        <f>H315*I315*(1-J315)</f>
        <v/>
      </c>
      <c r="L315" s="11" t="n">
        <v>36</v>
      </c>
      <c r="M315" s="11">
        <f>K315-(H315*L315)</f>
        <v/>
      </c>
      <c r="N315" s="11">
        <f>H315*11</f>
        <v/>
      </c>
    </row>
    <row r="316">
      <c r="A316" t="inlineStr">
        <is>
          <t>LL-00315</t>
        </is>
      </c>
      <c r="B316" s="10" t="n">
        <v>46057</v>
      </c>
      <c r="C316" t="inlineStr">
        <is>
          <t>Feb</t>
        </is>
      </c>
      <c r="D316" t="inlineStr">
        <is>
          <t>South</t>
        </is>
      </c>
      <c r="E316" t="inlineStr">
        <is>
          <t>Online</t>
        </is>
      </c>
      <c r="F316" t="inlineStr">
        <is>
          <t>Luna Throw</t>
        </is>
      </c>
      <c r="G316" t="inlineStr">
        <is>
          <t>Living</t>
        </is>
      </c>
      <c r="H316" t="n">
        <v>5</v>
      </c>
      <c r="I316" s="11" t="n">
        <v>69</v>
      </c>
      <c r="J316" s="12" t="n">
        <v>0.1</v>
      </c>
      <c r="K316" s="11">
        <f>H316*I316*(1-J316)</f>
        <v/>
      </c>
      <c r="L316" s="11" t="n">
        <v>31</v>
      </c>
      <c r="M316" s="11">
        <f>K316-(H316*L316)</f>
        <v/>
      </c>
      <c r="N316" s="11">
        <f>H316*11</f>
        <v/>
      </c>
    </row>
    <row r="317">
      <c r="A317" t="inlineStr">
        <is>
          <t>LL-00316</t>
        </is>
      </c>
      <c r="B317" s="10" t="n">
        <v>46383</v>
      </c>
      <c r="C317" t="inlineStr">
        <is>
          <t>Dec</t>
        </is>
      </c>
      <c r="D317" t="inlineStr">
        <is>
          <t>West</t>
        </is>
      </c>
      <c r="E317" t="inlineStr">
        <is>
          <t>Marketplace</t>
        </is>
      </c>
      <c r="F317" t="inlineStr">
        <is>
          <t>Aurora Desk Lamp</t>
        </is>
      </c>
      <c r="G317" t="inlineStr">
        <is>
          <t>Lighting</t>
        </is>
      </c>
      <c r="H317" t="n">
        <v>7</v>
      </c>
      <c r="I317" s="11" t="n">
        <v>89</v>
      </c>
      <c r="J317" s="12" t="n">
        <v>0.1</v>
      </c>
      <c r="K317" s="11">
        <f>H317*I317*(1-J317)</f>
        <v/>
      </c>
      <c r="L317" s="11" t="n">
        <v>42</v>
      </c>
      <c r="M317" s="11">
        <f>K317-(H317*L317)</f>
        <v/>
      </c>
      <c r="N317" s="11">
        <f>H317*15</f>
        <v/>
      </c>
    </row>
    <row r="318">
      <c r="A318" t="inlineStr">
        <is>
          <t>LL-00317</t>
        </is>
      </c>
      <c r="B318" s="10" t="n">
        <v>46267</v>
      </c>
      <c r="C318" t="inlineStr">
        <is>
          <t>Sep</t>
        </is>
      </c>
      <c r="D318" t="inlineStr">
        <is>
          <t>North</t>
        </is>
      </c>
      <c r="E318" t="inlineStr">
        <is>
          <t>Online</t>
        </is>
      </c>
      <c r="F318" t="inlineStr">
        <is>
          <t>Focus Monitor Stand</t>
        </is>
      </c>
      <c r="G318" t="inlineStr">
        <is>
          <t>Workspace</t>
        </is>
      </c>
      <c r="H318" t="n">
        <v>7</v>
      </c>
      <c r="I318" s="11" t="n">
        <v>79</v>
      </c>
      <c r="J318" s="12" t="n">
        <v>0.15</v>
      </c>
      <c r="K318" s="11">
        <f>H318*I318*(1-J318)</f>
        <v/>
      </c>
      <c r="L318" s="11" t="n">
        <v>36</v>
      </c>
      <c r="M318" s="11">
        <f>K318-(H318*L318)</f>
        <v/>
      </c>
      <c r="N318" s="11">
        <f>H318*11</f>
        <v/>
      </c>
    </row>
    <row r="319">
      <c r="A319" t="inlineStr">
        <is>
          <t>LL-00318</t>
        </is>
      </c>
      <c r="B319" s="10" t="n">
        <v>46301</v>
      </c>
      <c r="C319" t="inlineStr">
        <is>
          <t>Oct</t>
        </is>
      </c>
      <c r="D319" t="inlineStr">
        <is>
          <t>East</t>
        </is>
      </c>
      <c r="E319" t="inlineStr">
        <is>
          <t>Marketplace</t>
        </is>
      </c>
      <c r="F319" t="inlineStr">
        <is>
          <t>Arc Side Table</t>
        </is>
      </c>
      <c r="G319" t="inlineStr">
        <is>
          <t>Living</t>
        </is>
      </c>
      <c r="H319" t="n">
        <v>8</v>
      </c>
      <c r="I319" s="11" t="n">
        <v>139</v>
      </c>
      <c r="J319" s="12" t="n">
        <v>0.15</v>
      </c>
      <c r="K319" s="11">
        <f>H319*I319*(1-J319)</f>
        <v/>
      </c>
      <c r="L319" s="11" t="n">
        <v>72</v>
      </c>
      <c r="M319" s="11">
        <f>K319-(H319*L319)</f>
        <v/>
      </c>
      <c r="N319" s="11">
        <f>H319*15</f>
        <v/>
      </c>
    </row>
    <row r="320">
      <c r="A320" t="inlineStr">
        <is>
          <t>LL-00319</t>
        </is>
      </c>
      <c r="B320" s="10" t="n">
        <v>46047</v>
      </c>
      <c r="C320" t="inlineStr">
        <is>
          <t>Jan</t>
        </is>
      </c>
      <c r="D320" t="inlineStr">
        <is>
          <t>East</t>
        </is>
      </c>
      <c r="E320" t="inlineStr">
        <is>
          <t>Online</t>
        </is>
      </c>
      <c r="F320" t="inlineStr">
        <is>
          <t>Aurora Desk Lamp</t>
        </is>
      </c>
      <c r="G320" t="inlineStr">
        <is>
          <t>Lighting</t>
        </is>
      </c>
      <c r="H320" t="n">
        <v>3</v>
      </c>
      <c r="I320" s="11" t="n">
        <v>89</v>
      </c>
      <c r="J320" s="12" t="n">
        <v>0.05</v>
      </c>
      <c r="K320" s="11">
        <f>H320*I320*(1-J320)</f>
        <v/>
      </c>
      <c r="L320" s="11" t="n">
        <v>42</v>
      </c>
      <c r="M320" s="11">
        <f>K320-(H320*L320)</f>
        <v/>
      </c>
      <c r="N320" s="11">
        <f>H320*11</f>
        <v/>
      </c>
    </row>
    <row r="321">
      <c r="A321" t="inlineStr">
        <is>
          <t>LL-00320</t>
        </is>
      </c>
      <c r="B321" s="10" t="n">
        <v>46248</v>
      </c>
      <c r="C321" t="inlineStr">
        <is>
          <t>Aug</t>
        </is>
      </c>
      <c r="D321" t="inlineStr">
        <is>
          <t>North</t>
        </is>
      </c>
      <c r="E321" t="inlineStr">
        <is>
          <t>Online</t>
        </is>
      </c>
      <c r="F321" t="inlineStr">
        <is>
          <t>Aurora Desk Lamp</t>
        </is>
      </c>
      <c r="G321" t="inlineStr">
        <is>
          <t>Lighting</t>
        </is>
      </c>
      <c r="H321" t="n">
        <v>7</v>
      </c>
      <c r="I321" s="11" t="n">
        <v>89</v>
      </c>
      <c r="J321" s="12" t="n">
        <v>0.1</v>
      </c>
      <c r="K321" s="11">
        <f>H321*I321*(1-J321)</f>
        <v/>
      </c>
      <c r="L321" s="11" t="n">
        <v>42</v>
      </c>
      <c r="M321" s="11">
        <f>K321-(H321*L321)</f>
        <v/>
      </c>
      <c r="N321" s="11">
        <f>H321*11</f>
        <v/>
      </c>
    </row>
    <row r="322">
      <c r="A322" t="inlineStr">
        <is>
          <t>LL-00321</t>
        </is>
      </c>
      <c r="B322" s="10" t="n">
        <v>46247</v>
      </c>
      <c r="C322" t="inlineStr">
        <is>
          <t>Aug</t>
        </is>
      </c>
      <c r="D322" t="inlineStr">
        <is>
          <t>South</t>
        </is>
      </c>
      <c r="E322" t="inlineStr">
        <is>
          <t>Marketplace</t>
        </is>
      </c>
      <c r="F322" t="inlineStr">
        <is>
          <t>Nest Basket</t>
        </is>
      </c>
      <c r="G322" t="inlineStr">
        <is>
          <t>Living</t>
        </is>
      </c>
      <c r="H322" t="n">
        <v>3</v>
      </c>
      <c r="I322" s="11" t="n">
        <v>55</v>
      </c>
      <c r="J322" s="12" t="n">
        <v>0</v>
      </c>
      <c r="K322" s="11">
        <f>H322*I322*(1-J322)</f>
        <v/>
      </c>
      <c r="L322" s="11" t="n">
        <v>24</v>
      </c>
      <c r="M322" s="11">
        <f>K322-(H322*L322)</f>
        <v/>
      </c>
      <c r="N322" s="11">
        <f>H322*15</f>
        <v/>
      </c>
    </row>
    <row r="323">
      <c r="A323" t="inlineStr">
        <is>
          <t>LL-00322</t>
        </is>
      </c>
      <c r="B323" s="10" t="n">
        <v>46290</v>
      </c>
      <c r="C323" t="inlineStr">
        <is>
          <t>Sep</t>
        </is>
      </c>
      <c r="D323" t="inlineStr">
        <is>
          <t>North</t>
        </is>
      </c>
      <c r="E323" t="inlineStr">
        <is>
          <t>Retail</t>
        </is>
      </c>
      <c r="F323" t="inlineStr">
        <is>
          <t>Aurora Desk Lamp</t>
        </is>
      </c>
      <c r="G323" t="inlineStr">
        <is>
          <t>Lighting</t>
        </is>
      </c>
      <c r="H323" t="n">
        <v>4</v>
      </c>
      <c r="I323" s="11" t="n">
        <v>89</v>
      </c>
      <c r="J323" s="12" t="n">
        <v>0.05</v>
      </c>
      <c r="K323" s="11">
        <f>H323*I323*(1-J323)</f>
        <v/>
      </c>
      <c r="L323" s="11" t="n">
        <v>42</v>
      </c>
      <c r="M323" s="11">
        <f>K323-(H323*L323)</f>
        <v/>
      </c>
      <c r="N323" s="11">
        <f>H323*6</f>
        <v/>
      </c>
    </row>
    <row r="324">
      <c r="A324" t="inlineStr">
        <is>
          <t>LL-00323</t>
        </is>
      </c>
      <c r="B324" s="10" t="n">
        <v>46364</v>
      </c>
      <c r="C324" t="inlineStr">
        <is>
          <t>Dec</t>
        </is>
      </c>
      <c r="D324" t="inlineStr">
        <is>
          <t>East</t>
        </is>
      </c>
      <c r="E324" t="inlineStr">
        <is>
          <t>Marketplace</t>
        </is>
      </c>
      <c r="F324" t="inlineStr">
        <is>
          <t>Arc Side Table</t>
        </is>
      </c>
      <c r="G324" t="inlineStr">
        <is>
          <t>Living</t>
        </is>
      </c>
      <c r="H324" t="n">
        <v>3</v>
      </c>
      <c r="I324" s="11" t="n">
        <v>139</v>
      </c>
      <c r="J324" s="12" t="n">
        <v>0.1</v>
      </c>
      <c r="K324" s="11">
        <f>H324*I324*(1-J324)</f>
        <v/>
      </c>
      <c r="L324" s="11" t="n">
        <v>72</v>
      </c>
      <c r="M324" s="11">
        <f>K324-(H324*L324)</f>
        <v/>
      </c>
      <c r="N324" s="11">
        <f>H324*15</f>
        <v/>
      </c>
    </row>
    <row r="325">
      <c r="A325" t="inlineStr">
        <is>
          <t>LL-00324</t>
        </is>
      </c>
      <c r="B325" s="10" t="n">
        <v>46038</v>
      </c>
      <c r="C325" t="inlineStr">
        <is>
          <t>Jan</t>
        </is>
      </c>
      <c r="D325" t="inlineStr">
        <is>
          <t>South</t>
        </is>
      </c>
      <c r="E325" t="inlineStr">
        <is>
          <t>Retail</t>
        </is>
      </c>
      <c r="F325" t="inlineStr">
        <is>
          <t>Halo Floor Lamp</t>
        </is>
      </c>
      <c r="G325" t="inlineStr">
        <is>
          <t>Lighting</t>
        </is>
      </c>
      <c r="H325" t="n">
        <v>6</v>
      </c>
      <c r="I325" s="11" t="n">
        <v>159</v>
      </c>
      <c r="J325" s="12" t="n">
        <v>0.15</v>
      </c>
      <c r="K325" s="11">
        <f>H325*I325*(1-J325)</f>
        <v/>
      </c>
      <c r="L325" s="11" t="n">
        <v>79</v>
      </c>
      <c r="M325" s="11">
        <f>K325-(H325*L325)</f>
        <v/>
      </c>
      <c r="N325" s="11">
        <f>H325*6</f>
        <v/>
      </c>
    </row>
    <row r="326">
      <c r="A326" t="inlineStr">
        <is>
          <t>LL-00325</t>
        </is>
      </c>
      <c r="B326" s="10" t="n">
        <v>46105</v>
      </c>
      <c r="C326" t="inlineStr">
        <is>
          <t>Mar</t>
        </is>
      </c>
      <c r="D326" t="inlineStr">
        <is>
          <t>North</t>
        </is>
      </c>
      <c r="E326" t="inlineStr">
        <is>
          <t>Retail</t>
        </is>
      </c>
      <c r="F326" t="inlineStr">
        <is>
          <t>Nest Basket</t>
        </is>
      </c>
      <c r="G326" t="inlineStr">
        <is>
          <t>Living</t>
        </is>
      </c>
      <c r="H326" t="n">
        <v>7</v>
      </c>
      <c r="I326" s="11" t="n">
        <v>55</v>
      </c>
      <c r="J326" s="12" t="n">
        <v>0.15</v>
      </c>
      <c r="K326" s="11">
        <f>H326*I326*(1-J326)</f>
        <v/>
      </c>
      <c r="L326" s="11" t="n">
        <v>24</v>
      </c>
      <c r="M326" s="11">
        <f>K326-(H326*L326)</f>
        <v/>
      </c>
      <c r="N326" s="11">
        <f>H326*6</f>
        <v/>
      </c>
    </row>
    <row r="327">
      <c r="A327" t="inlineStr">
        <is>
          <t>LL-00326</t>
        </is>
      </c>
      <c r="B327" s="10" t="n">
        <v>46259</v>
      </c>
      <c r="C327" t="inlineStr">
        <is>
          <t>Aug</t>
        </is>
      </c>
      <c r="D327" t="inlineStr">
        <is>
          <t>East</t>
        </is>
      </c>
      <c r="E327" t="inlineStr">
        <is>
          <t>Online</t>
        </is>
      </c>
      <c r="F327" t="inlineStr">
        <is>
          <t>Focus Monitor Stand</t>
        </is>
      </c>
      <c r="G327" t="inlineStr">
        <is>
          <t>Workspace</t>
        </is>
      </c>
      <c r="H327" t="n">
        <v>5</v>
      </c>
      <c r="I327" s="11" t="n">
        <v>79</v>
      </c>
      <c r="J327" s="12" t="n">
        <v>0.05</v>
      </c>
      <c r="K327" s="11">
        <f>H327*I327*(1-J327)</f>
        <v/>
      </c>
      <c r="L327" s="11" t="n">
        <v>36</v>
      </c>
      <c r="M327" s="11">
        <f>K327-(H327*L327)</f>
        <v/>
      </c>
      <c r="N327" s="11">
        <f>H327*11</f>
        <v/>
      </c>
    </row>
    <row r="328">
      <c r="A328" t="inlineStr">
        <is>
          <t>LL-00327</t>
        </is>
      </c>
      <c r="B328" s="10" t="n">
        <v>46325</v>
      </c>
      <c r="C328" t="inlineStr">
        <is>
          <t>Oct</t>
        </is>
      </c>
      <c r="D328" t="inlineStr">
        <is>
          <t>East</t>
        </is>
      </c>
      <c r="E328" t="inlineStr">
        <is>
          <t>Retail</t>
        </is>
      </c>
      <c r="F328" t="inlineStr">
        <is>
          <t>Aurora Desk Lamp</t>
        </is>
      </c>
      <c r="G328" t="inlineStr">
        <is>
          <t>Lighting</t>
        </is>
      </c>
      <c r="H328" t="n">
        <v>8</v>
      </c>
      <c r="I328" s="11" t="n">
        <v>89</v>
      </c>
      <c r="J328" s="12" t="n">
        <v>0.1</v>
      </c>
      <c r="K328" s="11">
        <f>H328*I328*(1-J328)</f>
        <v/>
      </c>
      <c r="L328" s="11" t="n">
        <v>42</v>
      </c>
      <c r="M328" s="11">
        <f>K328-(H328*L328)</f>
        <v/>
      </c>
      <c r="N328" s="11">
        <f>H328*6</f>
        <v/>
      </c>
    </row>
    <row r="329">
      <c r="A329" t="inlineStr">
        <is>
          <t>LL-00328</t>
        </is>
      </c>
      <c r="B329" s="10" t="n">
        <v>46201</v>
      </c>
      <c r="C329" t="inlineStr">
        <is>
          <t>Jun</t>
        </is>
      </c>
      <c r="D329" t="inlineStr">
        <is>
          <t>East</t>
        </is>
      </c>
      <c r="E329" t="inlineStr">
        <is>
          <t>Online</t>
        </is>
      </c>
      <c r="F329" t="inlineStr">
        <is>
          <t>Halo Floor Lamp</t>
        </is>
      </c>
      <c r="G329" t="inlineStr">
        <is>
          <t>Lighting</t>
        </is>
      </c>
      <c r="H329" t="n">
        <v>7</v>
      </c>
      <c r="I329" s="11" t="n">
        <v>159</v>
      </c>
      <c r="J329" s="12" t="n">
        <v>0.05</v>
      </c>
      <c r="K329" s="11">
        <f>H329*I329*(1-J329)</f>
        <v/>
      </c>
      <c r="L329" s="11" t="n">
        <v>79</v>
      </c>
      <c r="M329" s="11">
        <f>K329-(H329*L329)</f>
        <v/>
      </c>
      <c r="N329" s="11">
        <f>H329*11</f>
        <v/>
      </c>
    </row>
    <row r="330">
      <c r="A330" t="inlineStr">
        <is>
          <t>LL-00329</t>
        </is>
      </c>
      <c r="B330" s="10" t="n">
        <v>46330</v>
      </c>
      <c r="C330" t="inlineStr">
        <is>
          <t>Nov</t>
        </is>
      </c>
      <c r="D330" t="inlineStr">
        <is>
          <t>North</t>
        </is>
      </c>
      <c r="E330" t="inlineStr">
        <is>
          <t>Online</t>
        </is>
      </c>
      <c r="F330" t="inlineStr">
        <is>
          <t>Aurora Desk Lamp</t>
        </is>
      </c>
      <c r="G330" t="inlineStr">
        <is>
          <t>Lighting</t>
        </is>
      </c>
      <c r="H330" t="n">
        <v>3</v>
      </c>
      <c r="I330" s="11" t="n">
        <v>89</v>
      </c>
      <c r="J330" s="12" t="n">
        <v>0</v>
      </c>
      <c r="K330" s="11">
        <f>H330*I330*(1-J330)</f>
        <v/>
      </c>
      <c r="L330" s="11" t="n">
        <v>42</v>
      </c>
      <c r="M330" s="11">
        <f>K330-(H330*L330)</f>
        <v/>
      </c>
      <c r="N330" s="11">
        <f>H330*11</f>
        <v/>
      </c>
    </row>
    <row r="331">
      <c r="A331" t="inlineStr">
        <is>
          <t>LL-00330</t>
        </is>
      </c>
      <c r="B331" s="10" t="n">
        <v>46346</v>
      </c>
      <c r="C331" t="inlineStr">
        <is>
          <t>Nov</t>
        </is>
      </c>
      <c r="D331" t="inlineStr">
        <is>
          <t>South</t>
        </is>
      </c>
      <c r="E331" t="inlineStr">
        <is>
          <t>Retail</t>
        </is>
      </c>
      <c r="F331" t="inlineStr">
        <is>
          <t>Nest Basket</t>
        </is>
      </c>
      <c r="G331" t="inlineStr">
        <is>
          <t>Living</t>
        </is>
      </c>
      <c r="H331" t="n">
        <v>3</v>
      </c>
      <c r="I331" s="11" t="n">
        <v>55</v>
      </c>
      <c r="J331" s="12" t="n">
        <v>0.1</v>
      </c>
      <c r="K331" s="11">
        <f>H331*I331*(1-J331)</f>
        <v/>
      </c>
      <c r="L331" s="11" t="n">
        <v>24</v>
      </c>
      <c r="M331" s="11">
        <f>K331-(H331*L331)</f>
        <v/>
      </c>
      <c r="N331" s="11">
        <f>H331*6</f>
        <v/>
      </c>
    </row>
    <row r="332">
      <c r="A332" t="inlineStr">
        <is>
          <t>LL-00331</t>
        </is>
      </c>
      <c r="B332" s="10" t="n">
        <v>46272</v>
      </c>
      <c r="C332" t="inlineStr">
        <is>
          <t>Sep</t>
        </is>
      </c>
      <c r="D332" t="inlineStr">
        <is>
          <t>South</t>
        </is>
      </c>
      <c r="E332" t="inlineStr">
        <is>
          <t>Retail</t>
        </is>
      </c>
      <c r="F332" t="inlineStr">
        <is>
          <t>Aurora Desk Lamp</t>
        </is>
      </c>
      <c r="G332" t="inlineStr">
        <is>
          <t>Lighting</t>
        </is>
      </c>
      <c r="H332" t="n">
        <v>1</v>
      </c>
      <c r="I332" s="11" t="n">
        <v>89</v>
      </c>
      <c r="J332" s="12" t="n">
        <v>0.15</v>
      </c>
      <c r="K332" s="11">
        <f>H332*I332*(1-J332)</f>
        <v/>
      </c>
      <c r="L332" s="11" t="n">
        <v>42</v>
      </c>
      <c r="M332" s="11">
        <f>K332-(H332*L332)</f>
        <v/>
      </c>
      <c r="N332" s="11">
        <f>H332*6</f>
        <v/>
      </c>
    </row>
    <row r="333">
      <c r="A333" t="inlineStr">
        <is>
          <t>LL-00332</t>
        </is>
      </c>
      <c r="B333" s="10" t="n">
        <v>46293</v>
      </c>
      <c r="C333" t="inlineStr">
        <is>
          <t>Sep</t>
        </is>
      </c>
      <c r="D333" t="inlineStr">
        <is>
          <t>East</t>
        </is>
      </c>
      <c r="E333" t="inlineStr">
        <is>
          <t>Marketplace</t>
        </is>
      </c>
      <c r="F333" t="inlineStr">
        <is>
          <t>Focus Monitor Stand</t>
        </is>
      </c>
      <c r="G333" t="inlineStr">
        <is>
          <t>Workspace</t>
        </is>
      </c>
      <c r="H333" t="n">
        <v>7</v>
      </c>
      <c r="I333" s="11" t="n">
        <v>79</v>
      </c>
      <c r="J333" s="12" t="n">
        <v>0</v>
      </c>
      <c r="K333" s="11">
        <f>H333*I333*(1-J333)</f>
        <v/>
      </c>
      <c r="L333" s="11" t="n">
        <v>36</v>
      </c>
      <c r="M333" s="11">
        <f>K333-(H333*L333)</f>
        <v/>
      </c>
      <c r="N333" s="11">
        <f>H333*15</f>
        <v/>
      </c>
    </row>
    <row r="334">
      <c r="A334" t="inlineStr">
        <is>
          <t>LL-00333</t>
        </is>
      </c>
      <c r="B334" s="10" t="n">
        <v>46092</v>
      </c>
      <c r="C334" t="inlineStr">
        <is>
          <t>Mar</t>
        </is>
      </c>
      <c r="D334" t="inlineStr">
        <is>
          <t>North</t>
        </is>
      </c>
      <c r="E334" t="inlineStr">
        <is>
          <t>Online</t>
        </is>
      </c>
      <c r="F334" t="inlineStr">
        <is>
          <t>Arc Side Table</t>
        </is>
      </c>
      <c r="G334" t="inlineStr">
        <is>
          <t>Living</t>
        </is>
      </c>
      <c r="H334" t="n">
        <v>3</v>
      </c>
      <c r="I334" s="11" t="n">
        <v>139</v>
      </c>
      <c r="J334" s="12" t="n">
        <v>0.1</v>
      </c>
      <c r="K334" s="11">
        <f>H334*I334*(1-J334)</f>
        <v/>
      </c>
      <c r="L334" s="11" t="n">
        <v>72</v>
      </c>
      <c r="M334" s="11">
        <f>K334-(H334*L334)</f>
        <v/>
      </c>
      <c r="N334" s="11">
        <f>H334*11</f>
        <v/>
      </c>
    </row>
    <row r="335">
      <c r="A335" t="inlineStr">
        <is>
          <t>LL-00334</t>
        </is>
      </c>
      <c r="B335" s="10" t="n">
        <v>46193</v>
      </c>
      <c r="C335" t="inlineStr">
        <is>
          <t>Jun</t>
        </is>
      </c>
      <c r="D335" t="inlineStr">
        <is>
          <t>East</t>
        </is>
      </c>
      <c r="E335" t="inlineStr">
        <is>
          <t>Retail</t>
        </is>
      </c>
      <c r="F335" t="inlineStr">
        <is>
          <t>Aurora Desk Lamp</t>
        </is>
      </c>
      <c r="G335" t="inlineStr">
        <is>
          <t>Lighting</t>
        </is>
      </c>
      <c r="H335" t="n">
        <v>8</v>
      </c>
      <c r="I335" s="11" t="n">
        <v>89</v>
      </c>
      <c r="J335" s="12" t="n">
        <v>0.1</v>
      </c>
      <c r="K335" s="11">
        <f>H335*I335*(1-J335)</f>
        <v/>
      </c>
      <c r="L335" s="11" t="n">
        <v>42</v>
      </c>
      <c r="M335" s="11">
        <f>K335-(H335*L335)</f>
        <v/>
      </c>
      <c r="N335" s="11">
        <f>H335*6</f>
        <v/>
      </c>
    </row>
    <row r="336">
      <c r="A336" t="inlineStr">
        <is>
          <t>LL-00335</t>
        </is>
      </c>
      <c r="B336" s="10" t="n">
        <v>46378</v>
      </c>
      <c r="C336" t="inlineStr">
        <is>
          <t>Dec</t>
        </is>
      </c>
      <c r="D336" t="inlineStr">
        <is>
          <t>North</t>
        </is>
      </c>
      <c r="E336" t="inlineStr">
        <is>
          <t>Retail</t>
        </is>
      </c>
      <c r="F336" t="inlineStr">
        <is>
          <t>Focus Monitor Stand</t>
        </is>
      </c>
      <c r="G336" t="inlineStr">
        <is>
          <t>Workspace</t>
        </is>
      </c>
      <c r="H336" t="n">
        <v>4</v>
      </c>
      <c r="I336" s="11" t="n">
        <v>79</v>
      </c>
      <c r="J336" s="12" t="n">
        <v>0.05</v>
      </c>
      <c r="K336" s="11">
        <f>H336*I336*(1-J336)</f>
        <v/>
      </c>
      <c r="L336" s="11" t="n">
        <v>36</v>
      </c>
      <c r="M336" s="11">
        <f>K336-(H336*L336)</f>
        <v/>
      </c>
      <c r="N336" s="11">
        <f>H336*6</f>
        <v/>
      </c>
    </row>
    <row r="337">
      <c r="A337" t="inlineStr">
        <is>
          <t>LL-00336</t>
        </is>
      </c>
      <c r="B337" s="10" t="n">
        <v>46117</v>
      </c>
      <c r="C337" t="inlineStr">
        <is>
          <t>Apr</t>
        </is>
      </c>
      <c r="D337" t="inlineStr">
        <is>
          <t>South</t>
        </is>
      </c>
      <c r="E337" t="inlineStr">
        <is>
          <t>Marketplace</t>
        </is>
      </c>
      <c r="F337" t="inlineStr">
        <is>
          <t>Nest Basket</t>
        </is>
      </c>
      <c r="G337" t="inlineStr">
        <is>
          <t>Living</t>
        </is>
      </c>
      <c r="H337" t="n">
        <v>7</v>
      </c>
      <c r="I337" s="11" t="n">
        <v>55</v>
      </c>
      <c r="J337" s="12" t="n">
        <v>0.15</v>
      </c>
      <c r="K337" s="11">
        <f>H337*I337*(1-J337)</f>
        <v/>
      </c>
      <c r="L337" s="11" t="n">
        <v>24</v>
      </c>
      <c r="M337" s="11">
        <f>K337-(H337*L337)</f>
        <v/>
      </c>
      <c r="N337" s="11">
        <f>H337*15</f>
        <v/>
      </c>
    </row>
    <row r="338">
      <c r="A338" t="inlineStr">
        <is>
          <t>LL-00337</t>
        </is>
      </c>
      <c r="B338" s="10" t="n">
        <v>46038</v>
      </c>
      <c r="C338" t="inlineStr">
        <is>
          <t>Jan</t>
        </is>
      </c>
      <c r="D338" t="inlineStr">
        <is>
          <t>North</t>
        </is>
      </c>
      <c r="E338" t="inlineStr">
        <is>
          <t>Online</t>
        </is>
      </c>
      <c r="F338" t="inlineStr">
        <is>
          <t>Arc Side Table</t>
        </is>
      </c>
      <c r="G338" t="inlineStr">
        <is>
          <t>Living</t>
        </is>
      </c>
      <c r="H338" t="n">
        <v>6</v>
      </c>
      <c r="I338" s="11" t="n">
        <v>139</v>
      </c>
      <c r="J338" s="12" t="n">
        <v>0.05</v>
      </c>
      <c r="K338" s="11">
        <f>H338*I338*(1-J338)</f>
        <v/>
      </c>
      <c r="L338" s="11" t="n">
        <v>72</v>
      </c>
      <c r="M338" s="11">
        <f>K338-(H338*L338)</f>
        <v/>
      </c>
      <c r="N338" s="11">
        <f>H338*11</f>
        <v/>
      </c>
    </row>
    <row r="339">
      <c r="A339" t="inlineStr">
        <is>
          <t>LL-00338</t>
        </is>
      </c>
      <c r="B339" s="10" t="n">
        <v>46028</v>
      </c>
      <c r="C339" t="inlineStr">
        <is>
          <t>Jan</t>
        </is>
      </c>
      <c r="D339" t="inlineStr">
        <is>
          <t>West</t>
        </is>
      </c>
      <c r="E339" t="inlineStr">
        <is>
          <t>Retail</t>
        </is>
      </c>
      <c r="F339" t="inlineStr">
        <is>
          <t>Arc Side Table</t>
        </is>
      </c>
      <c r="G339" t="inlineStr">
        <is>
          <t>Living</t>
        </is>
      </c>
      <c r="H339" t="n">
        <v>5</v>
      </c>
      <c r="I339" s="11" t="n">
        <v>139</v>
      </c>
      <c r="J339" s="12" t="n">
        <v>0</v>
      </c>
      <c r="K339" s="11">
        <f>H339*I339*(1-J339)</f>
        <v/>
      </c>
      <c r="L339" s="11" t="n">
        <v>72</v>
      </c>
      <c r="M339" s="11">
        <f>K339-(H339*L339)</f>
        <v/>
      </c>
      <c r="N339" s="11">
        <f>H339*6</f>
        <v/>
      </c>
    </row>
    <row r="340">
      <c r="A340" t="inlineStr">
        <is>
          <t>LL-00339</t>
        </is>
      </c>
      <c r="B340" s="10" t="n">
        <v>46218</v>
      </c>
      <c r="C340" t="inlineStr">
        <is>
          <t>Jul</t>
        </is>
      </c>
      <c r="D340" t="inlineStr">
        <is>
          <t>South</t>
        </is>
      </c>
      <c r="E340" t="inlineStr">
        <is>
          <t>Marketplace</t>
        </is>
      </c>
      <c r="F340" t="inlineStr">
        <is>
          <t>Arc Side Table</t>
        </is>
      </c>
      <c r="G340" t="inlineStr">
        <is>
          <t>Living</t>
        </is>
      </c>
      <c r="H340" t="n">
        <v>5</v>
      </c>
      <c r="I340" s="11" t="n">
        <v>139</v>
      </c>
      <c r="J340" s="12" t="n">
        <v>0</v>
      </c>
      <c r="K340" s="11">
        <f>H340*I340*(1-J340)</f>
        <v/>
      </c>
      <c r="L340" s="11" t="n">
        <v>72</v>
      </c>
      <c r="M340" s="11">
        <f>K340-(H340*L340)</f>
        <v/>
      </c>
      <c r="N340" s="11">
        <f>H340*15</f>
        <v/>
      </c>
    </row>
    <row r="341">
      <c r="A341" t="inlineStr">
        <is>
          <t>LL-00340</t>
        </is>
      </c>
      <c r="B341" s="10" t="n">
        <v>46315</v>
      </c>
      <c r="C341" t="inlineStr">
        <is>
          <t>Oct</t>
        </is>
      </c>
      <c r="D341" t="inlineStr">
        <is>
          <t>North</t>
        </is>
      </c>
      <c r="E341" t="inlineStr">
        <is>
          <t>Online</t>
        </is>
      </c>
      <c r="F341" t="inlineStr">
        <is>
          <t>Halo Floor Lamp</t>
        </is>
      </c>
      <c r="G341" t="inlineStr">
        <is>
          <t>Lighting</t>
        </is>
      </c>
      <c r="H341" t="n">
        <v>5</v>
      </c>
      <c r="I341" s="11" t="n">
        <v>159</v>
      </c>
      <c r="J341" s="12" t="n">
        <v>0.15</v>
      </c>
      <c r="K341" s="11">
        <f>H341*I341*(1-J341)</f>
        <v/>
      </c>
      <c r="L341" s="11" t="n">
        <v>79</v>
      </c>
      <c r="M341" s="11">
        <f>K341-(H341*L341)</f>
        <v/>
      </c>
      <c r="N341" s="11">
        <f>H341*11</f>
        <v/>
      </c>
    </row>
    <row r="342">
      <c r="A342" t="inlineStr">
        <is>
          <t>LL-00341</t>
        </is>
      </c>
      <c r="B342" s="10" t="n">
        <v>46065</v>
      </c>
      <c r="C342" t="inlineStr">
        <is>
          <t>Feb</t>
        </is>
      </c>
      <c r="D342" t="inlineStr">
        <is>
          <t>South</t>
        </is>
      </c>
      <c r="E342" t="inlineStr">
        <is>
          <t>Marketplace</t>
        </is>
      </c>
      <c r="F342" t="inlineStr">
        <is>
          <t>Luna Throw</t>
        </is>
      </c>
      <c r="G342" t="inlineStr">
        <is>
          <t>Living</t>
        </is>
      </c>
      <c r="H342" t="n">
        <v>1</v>
      </c>
      <c r="I342" s="11" t="n">
        <v>69</v>
      </c>
      <c r="J342" s="12" t="n">
        <v>0</v>
      </c>
      <c r="K342" s="11">
        <f>H342*I342*(1-J342)</f>
        <v/>
      </c>
      <c r="L342" s="11" t="n">
        <v>31</v>
      </c>
      <c r="M342" s="11">
        <f>K342-(H342*L342)</f>
        <v/>
      </c>
      <c r="N342" s="11">
        <f>H342*15</f>
        <v/>
      </c>
    </row>
    <row r="343">
      <c r="A343" t="inlineStr">
        <is>
          <t>LL-00342</t>
        </is>
      </c>
      <c r="B343" s="10" t="n">
        <v>46216</v>
      </c>
      <c r="C343" t="inlineStr">
        <is>
          <t>Jul</t>
        </is>
      </c>
      <c r="D343" t="inlineStr">
        <is>
          <t>South</t>
        </is>
      </c>
      <c r="E343" t="inlineStr">
        <is>
          <t>Online</t>
        </is>
      </c>
      <c r="F343" t="inlineStr">
        <is>
          <t>Focus Monitor Stand</t>
        </is>
      </c>
      <c r="G343" t="inlineStr">
        <is>
          <t>Workspace</t>
        </is>
      </c>
      <c r="H343" t="n">
        <v>7</v>
      </c>
      <c r="I343" s="11" t="n">
        <v>79</v>
      </c>
      <c r="J343" s="12" t="n">
        <v>0</v>
      </c>
      <c r="K343" s="11">
        <f>H343*I343*(1-J343)</f>
        <v/>
      </c>
      <c r="L343" s="11" t="n">
        <v>36</v>
      </c>
      <c r="M343" s="11">
        <f>K343-(H343*L343)</f>
        <v/>
      </c>
      <c r="N343" s="11">
        <f>H343*11</f>
        <v/>
      </c>
    </row>
    <row r="344">
      <c r="A344" t="inlineStr">
        <is>
          <t>LL-00343</t>
        </is>
      </c>
      <c r="B344" s="10" t="n">
        <v>46191</v>
      </c>
      <c r="C344" t="inlineStr">
        <is>
          <t>Jun</t>
        </is>
      </c>
      <c r="D344" t="inlineStr">
        <is>
          <t>South</t>
        </is>
      </c>
      <c r="E344" t="inlineStr">
        <is>
          <t>Retail</t>
        </is>
      </c>
      <c r="F344" t="inlineStr">
        <is>
          <t>Focus Monitor Stand</t>
        </is>
      </c>
      <c r="G344" t="inlineStr">
        <is>
          <t>Workspace</t>
        </is>
      </c>
      <c r="H344" t="n">
        <v>7</v>
      </c>
      <c r="I344" s="11" t="n">
        <v>79</v>
      </c>
      <c r="J344" s="12" t="n">
        <v>0.05</v>
      </c>
      <c r="K344" s="11">
        <f>H344*I344*(1-J344)</f>
        <v/>
      </c>
      <c r="L344" s="11" t="n">
        <v>36</v>
      </c>
      <c r="M344" s="11">
        <f>K344-(H344*L344)</f>
        <v/>
      </c>
      <c r="N344" s="11">
        <f>H344*6</f>
        <v/>
      </c>
    </row>
    <row r="345">
      <c r="A345" t="inlineStr">
        <is>
          <t>LL-00344</t>
        </is>
      </c>
      <c r="B345" s="10" t="n">
        <v>46343</v>
      </c>
      <c r="C345" t="inlineStr">
        <is>
          <t>Nov</t>
        </is>
      </c>
      <c r="D345" t="inlineStr">
        <is>
          <t>West</t>
        </is>
      </c>
      <c r="E345" t="inlineStr">
        <is>
          <t>Retail</t>
        </is>
      </c>
      <c r="F345" t="inlineStr">
        <is>
          <t>Nest Basket</t>
        </is>
      </c>
      <c r="G345" t="inlineStr">
        <is>
          <t>Living</t>
        </is>
      </c>
      <c r="H345" t="n">
        <v>8</v>
      </c>
      <c r="I345" s="11" t="n">
        <v>55</v>
      </c>
      <c r="J345" s="12" t="n">
        <v>0.1</v>
      </c>
      <c r="K345" s="11">
        <f>H345*I345*(1-J345)</f>
        <v/>
      </c>
      <c r="L345" s="11" t="n">
        <v>24</v>
      </c>
      <c r="M345" s="11">
        <f>K345-(H345*L345)</f>
        <v/>
      </c>
      <c r="N345" s="11">
        <f>H345*6</f>
        <v/>
      </c>
    </row>
    <row r="346">
      <c r="A346" t="inlineStr">
        <is>
          <t>LL-00345</t>
        </is>
      </c>
      <c r="B346" s="10" t="n">
        <v>46386</v>
      </c>
      <c r="C346" t="inlineStr">
        <is>
          <t>Dec</t>
        </is>
      </c>
      <c r="D346" t="inlineStr">
        <is>
          <t>South</t>
        </is>
      </c>
      <c r="E346" t="inlineStr">
        <is>
          <t>Marketplace</t>
        </is>
      </c>
      <c r="F346" t="inlineStr">
        <is>
          <t>Aurora Desk Lamp</t>
        </is>
      </c>
      <c r="G346" t="inlineStr">
        <is>
          <t>Lighting</t>
        </is>
      </c>
      <c r="H346" t="n">
        <v>6</v>
      </c>
      <c r="I346" s="11" t="n">
        <v>89</v>
      </c>
      <c r="J346" s="12" t="n">
        <v>0.15</v>
      </c>
      <c r="K346" s="11">
        <f>H346*I346*(1-J346)</f>
        <v/>
      </c>
      <c r="L346" s="11" t="n">
        <v>42</v>
      </c>
      <c r="M346" s="11">
        <f>K346-(H346*L346)</f>
        <v/>
      </c>
      <c r="N346" s="11">
        <f>H346*15</f>
        <v/>
      </c>
    </row>
    <row r="347">
      <c r="A347" t="inlineStr">
        <is>
          <t>LL-00346</t>
        </is>
      </c>
      <c r="B347" s="10" t="n">
        <v>46083</v>
      </c>
      <c r="C347" t="inlineStr">
        <is>
          <t>Mar</t>
        </is>
      </c>
      <c r="D347" t="inlineStr">
        <is>
          <t>North</t>
        </is>
      </c>
      <c r="E347" t="inlineStr">
        <is>
          <t>Retail</t>
        </is>
      </c>
      <c r="F347" t="inlineStr">
        <is>
          <t>Nest Basket</t>
        </is>
      </c>
      <c r="G347" t="inlineStr">
        <is>
          <t>Living</t>
        </is>
      </c>
      <c r="H347" t="n">
        <v>5</v>
      </c>
      <c r="I347" s="11" t="n">
        <v>55</v>
      </c>
      <c r="J347" s="12" t="n">
        <v>0.2</v>
      </c>
      <c r="K347" s="11">
        <f>H347*I347*(1-J347)</f>
        <v/>
      </c>
      <c r="L347" s="11" t="n">
        <v>24</v>
      </c>
      <c r="M347" s="11">
        <f>K347-(H347*L347)</f>
        <v/>
      </c>
      <c r="N347" s="11">
        <f>H347*6</f>
        <v/>
      </c>
    </row>
    <row r="348">
      <c r="A348" t="inlineStr">
        <is>
          <t>LL-00347</t>
        </is>
      </c>
      <c r="B348" s="10" t="n">
        <v>46144</v>
      </c>
      <c r="C348" t="inlineStr">
        <is>
          <t>May</t>
        </is>
      </c>
      <c r="D348" t="inlineStr">
        <is>
          <t>North</t>
        </is>
      </c>
      <c r="E348" t="inlineStr">
        <is>
          <t>Marketplace</t>
        </is>
      </c>
      <c r="F348" t="inlineStr">
        <is>
          <t>Aurora Desk Lamp</t>
        </is>
      </c>
      <c r="G348" t="inlineStr">
        <is>
          <t>Lighting</t>
        </is>
      </c>
      <c r="H348" t="n">
        <v>4</v>
      </c>
      <c r="I348" s="11" t="n">
        <v>89</v>
      </c>
      <c r="J348" s="12" t="n">
        <v>0.05</v>
      </c>
      <c r="K348" s="11">
        <f>H348*I348*(1-J348)</f>
        <v/>
      </c>
      <c r="L348" s="11" t="n">
        <v>42</v>
      </c>
      <c r="M348" s="11">
        <f>K348-(H348*L348)</f>
        <v/>
      </c>
      <c r="N348" s="11">
        <f>H348*15</f>
        <v/>
      </c>
    </row>
    <row r="349">
      <c r="A349" t="inlineStr">
        <is>
          <t>LL-00348</t>
        </is>
      </c>
      <c r="B349" s="10" t="n">
        <v>46164</v>
      </c>
      <c r="C349" t="inlineStr">
        <is>
          <t>May</t>
        </is>
      </c>
      <c r="D349" t="inlineStr">
        <is>
          <t>South</t>
        </is>
      </c>
      <c r="E349" t="inlineStr">
        <is>
          <t>Marketplace</t>
        </is>
      </c>
      <c r="F349" t="inlineStr">
        <is>
          <t>Aurora Desk Lamp</t>
        </is>
      </c>
      <c r="G349" t="inlineStr">
        <is>
          <t>Lighting</t>
        </is>
      </c>
      <c r="H349" t="n">
        <v>5</v>
      </c>
      <c r="I349" s="11" t="n">
        <v>89</v>
      </c>
      <c r="J349" s="12" t="n">
        <v>0.05</v>
      </c>
      <c r="K349" s="11">
        <f>H349*I349*(1-J349)</f>
        <v/>
      </c>
      <c r="L349" s="11" t="n">
        <v>42</v>
      </c>
      <c r="M349" s="11">
        <f>K349-(H349*L349)</f>
        <v/>
      </c>
      <c r="N349" s="11">
        <f>H349*15</f>
        <v/>
      </c>
    </row>
    <row r="350">
      <c r="A350" t="inlineStr">
        <is>
          <t>LL-00349</t>
        </is>
      </c>
      <c r="B350" s="10" t="n">
        <v>46086</v>
      </c>
      <c r="C350" t="inlineStr">
        <is>
          <t>Mar</t>
        </is>
      </c>
      <c r="D350" t="inlineStr">
        <is>
          <t>South</t>
        </is>
      </c>
      <c r="E350" t="inlineStr">
        <is>
          <t>Retail</t>
        </is>
      </c>
      <c r="F350" t="inlineStr">
        <is>
          <t>Nest Basket</t>
        </is>
      </c>
      <c r="G350" t="inlineStr">
        <is>
          <t>Living</t>
        </is>
      </c>
      <c r="H350" t="n">
        <v>8</v>
      </c>
      <c r="I350" s="11" t="n">
        <v>55</v>
      </c>
      <c r="J350" s="12" t="n">
        <v>0</v>
      </c>
      <c r="K350" s="11">
        <f>H350*I350*(1-J350)</f>
        <v/>
      </c>
      <c r="L350" s="11" t="n">
        <v>24</v>
      </c>
      <c r="M350" s="11">
        <f>K350-(H350*L350)</f>
        <v/>
      </c>
      <c r="N350" s="11">
        <f>H350*6</f>
        <v/>
      </c>
    </row>
    <row r="351">
      <c r="A351" t="inlineStr">
        <is>
          <t>LL-00350</t>
        </is>
      </c>
      <c r="B351" s="10" t="n">
        <v>46324</v>
      </c>
      <c r="C351" t="inlineStr">
        <is>
          <t>Oct</t>
        </is>
      </c>
      <c r="D351" t="inlineStr">
        <is>
          <t>South</t>
        </is>
      </c>
      <c r="E351" t="inlineStr">
        <is>
          <t>Retail</t>
        </is>
      </c>
      <c r="F351" t="inlineStr">
        <is>
          <t>Aurora Desk Lamp</t>
        </is>
      </c>
      <c r="G351" t="inlineStr">
        <is>
          <t>Lighting</t>
        </is>
      </c>
      <c r="H351" t="n">
        <v>1</v>
      </c>
      <c r="I351" s="11" t="n">
        <v>89</v>
      </c>
      <c r="J351" s="12" t="n">
        <v>0</v>
      </c>
      <c r="K351" s="11">
        <f>H351*I351*(1-J351)</f>
        <v/>
      </c>
      <c r="L351" s="11" t="n">
        <v>42</v>
      </c>
      <c r="M351" s="11">
        <f>K351-(H351*L351)</f>
        <v/>
      </c>
      <c r="N351" s="11">
        <f>H351*6</f>
        <v/>
      </c>
    </row>
    <row r="352">
      <c r="A352" t="inlineStr">
        <is>
          <t>LL-00351</t>
        </is>
      </c>
      <c r="B352" s="10" t="n">
        <v>46265</v>
      </c>
      <c r="C352" t="inlineStr">
        <is>
          <t>Aug</t>
        </is>
      </c>
      <c r="D352" t="inlineStr">
        <is>
          <t>North</t>
        </is>
      </c>
      <c r="E352" t="inlineStr">
        <is>
          <t>Retail</t>
        </is>
      </c>
      <c r="F352" t="inlineStr">
        <is>
          <t>Halo Floor Lamp</t>
        </is>
      </c>
      <c r="G352" t="inlineStr">
        <is>
          <t>Lighting</t>
        </is>
      </c>
      <c r="H352" t="n">
        <v>2</v>
      </c>
      <c r="I352" s="11" t="n">
        <v>159</v>
      </c>
      <c r="J352" s="12" t="n">
        <v>0</v>
      </c>
      <c r="K352" s="11">
        <f>H352*I352*(1-J352)</f>
        <v/>
      </c>
      <c r="L352" s="11" t="n">
        <v>79</v>
      </c>
      <c r="M352" s="11">
        <f>K352-(H352*L352)</f>
        <v/>
      </c>
      <c r="N352" s="11">
        <f>H352*6</f>
        <v/>
      </c>
    </row>
    <row r="353">
      <c r="A353" t="inlineStr">
        <is>
          <t>LL-00352</t>
        </is>
      </c>
      <c r="B353" s="10" t="n">
        <v>46134</v>
      </c>
      <c r="C353" t="inlineStr">
        <is>
          <t>Apr</t>
        </is>
      </c>
      <c r="D353" t="inlineStr">
        <is>
          <t>North</t>
        </is>
      </c>
      <c r="E353" t="inlineStr">
        <is>
          <t>Marketplace</t>
        </is>
      </c>
      <c r="F353" t="inlineStr">
        <is>
          <t>Aurora Desk Lamp</t>
        </is>
      </c>
      <c r="G353" t="inlineStr">
        <is>
          <t>Lighting</t>
        </is>
      </c>
      <c r="H353" t="n">
        <v>7</v>
      </c>
      <c r="I353" s="11" t="n">
        <v>89</v>
      </c>
      <c r="J353" s="12" t="n">
        <v>0</v>
      </c>
      <c r="K353" s="11">
        <f>H353*I353*(1-J353)</f>
        <v/>
      </c>
      <c r="L353" s="11" t="n">
        <v>42</v>
      </c>
      <c r="M353" s="11">
        <f>K353-(H353*L353)</f>
        <v/>
      </c>
      <c r="N353" s="11">
        <f>H353*15</f>
        <v/>
      </c>
    </row>
    <row r="354">
      <c r="A354" t="inlineStr">
        <is>
          <t>LL-00353</t>
        </is>
      </c>
      <c r="B354" s="10" t="n">
        <v>46110</v>
      </c>
      <c r="C354" t="inlineStr">
        <is>
          <t>Mar</t>
        </is>
      </c>
      <c r="D354" t="inlineStr">
        <is>
          <t>North</t>
        </is>
      </c>
      <c r="E354" t="inlineStr">
        <is>
          <t>Marketplace</t>
        </is>
      </c>
      <c r="F354" t="inlineStr">
        <is>
          <t>Luna Throw</t>
        </is>
      </c>
      <c r="G354" t="inlineStr">
        <is>
          <t>Living</t>
        </is>
      </c>
      <c r="H354" t="n">
        <v>3</v>
      </c>
      <c r="I354" s="11" t="n">
        <v>69</v>
      </c>
      <c r="J354" s="12" t="n">
        <v>0.1</v>
      </c>
      <c r="K354" s="11">
        <f>H354*I354*(1-J354)</f>
        <v/>
      </c>
      <c r="L354" s="11" t="n">
        <v>31</v>
      </c>
      <c r="M354" s="11">
        <f>K354-(H354*L354)</f>
        <v/>
      </c>
      <c r="N354" s="11">
        <f>H354*15</f>
        <v/>
      </c>
    </row>
    <row r="355">
      <c r="A355" t="inlineStr">
        <is>
          <t>LL-00354</t>
        </is>
      </c>
      <c r="B355" s="10" t="n">
        <v>46370</v>
      </c>
      <c r="C355" t="inlineStr">
        <is>
          <t>Dec</t>
        </is>
      </c>
      <c r="D355" t="inlineStr">
        <is>
          <t>West</t>
        </is>
      </c>
      <c r="E355" t="inlineStr">
        <is>
          <t>Retail</t>
        </is>
      </c>
      <c r="F355" t="inlineStr">
        <is>
          <t>Focus Monitor Stand</t>
        </is>
      </c>
      <c r="G355" t="inlineStr">
        <is>
          <t>Workspace</t>
        </is>
      </c>
      <c r="H355" t="n">
        <v>6</v>
      </c>
      <c r="I355" s="11" t="n">
        <v>79</v>
      </c>
      <c r="J355" s="12" t="n">
        <v>0.15</v>
      </c>
      <c r="K355" s="11">
        <f>H355*I355*(1-J355)</f>
        <v/>
      </c>
      <c r="L355" s="11" t="n">
        <v>36</v>
      </c>
      <c r="M355" s="11">
        <f>K355-(H355*L355)</f>
        <v/>
      </c>
      <c r="N355" s="11">
        <f>H355*6</f>
        <v/>
      </c>
    </row>
    <row r="356">
      <c r="A356" t="inlineStr">
        <is>
          <t>LL-00355</t>
        </is>
      </c>
      <c r="B356" s="10" t="n">
        <v>46158</v>
      </c>
      <c r="C356" t="inlineStr">
        <is>
          <t>May</t>
        </is>
      </c>
      <c r="D356" t="inlineStr">
        <is>
          <t>East</t>
        </is>
      </c>
      <c r="E356" t="inlineStr">
        <is>
          <t>Marketplace</t>
        </is>
      </c>
      <c r="F356" t="inlineStr">
        <is>
          <t>Halo Floor Lamp</t>
        </is>
      </c>
      <c r="G356" t="inlineStr">
        <is>
          <t>Lighting</t>
        </is>
      </c>
      <c r="H356" t="n">
        <v>3</v>
      </c>
      <c r="I356" s="11" t="n">
        <v>159</v>
      </c>
      <c r="J356" s="12" t="n">
        <v>0.1</v>
      </c>
      <c r="K356" s="11">
        <f>H356*I356*(1-J356)</f>
        <v/>
      </c>
      <c r="L356" s="11" t="n">
        <v>79</v>
      </c>
      <c r="M356" s="11">
        <f>K356-(H356*L356)</f>
        <v/>
      </c>
      <c r="N356" s="11">
        <f>H356*15</f>
        <v/>
      </c>
    </row>
    <row r="357">
      <c r="A357" t="inlineStr">
        <is>
          <t>LL-00356</t>
        </is>
      </c>
      <c r="B357" s="10" t="n">
        <v>46279</v>
      </c>
      <c r="C357" t="inlineStr">
        <is>
          <t>Sep</t>
        </is>
      </c>
      <c r="D357" t="inlineStr">
        <is>
          <t>North</t>
        </is>
      </c>
      <c r="E357" t="inlineStr">
        <is>
          <t>Online</t>
        </is>
      </c>
      <c r="F357" t="inlineStr">
        <is>
          <t>Aurora Desk Lamp</t>
        </is>
      </c>
      <c r="G357" t="inlineStr">
        <is>
          <t>Lighting</t>
        </is>
      </c>
      <c r="H357" t="n">
        <v>1</v>
      </c>
      <c r="I357" s="11" t="n">
        <v>89</v>
      </c>
      <c r="J357" s="12" t="n">
        <v>0.1</v>
      </c>
      <c r="K357" s="11">
        <f>H357*I357*(1-J357)</f>
        <v/>
      </c>
      <c r="L357" s="11" t="n">
        <v>42</v>
      </c>
      <c r="M357" s="11">
        <f>K357-(H357*L357)</f>
        <v/>
      </c>
      <c r="N357" s="11">
        <f>H357*11</f>
        <v/>
      </c>
    </row>
    <row r="358">
      <c r="A358" t="inlineStr">
        <is>
          <t>LL-00357</t>
        </is>
      </c>
      <c r="B358" s="10" t="n">
        <v>46137</v>
      </c>
      <c r="C358" t="inlineStr">
        <is>
          <t>Apr</t>
        </is>
      </c>
      <c r="D358" t="inlineStr">
        <is>
          <t>North</t>
        </is>
      </c>
      <c r="E358" t="inlineStr">
        <is>
          <t>Retail</t>
        </is>
      </c>
      <c r="F358" t="inlineStr">
        <is>
          <t>Aurora Desk Lamp</t>
        </is>
      </c>
      <c r="G358" t="inlineStr">
        <is>
          <t>Lighting</t>
        </is>
      </c>
      <c r="H358" t="n">
        <v>8</v>
      </c>
      <c r="I358" s="11" t="n">
        <v>89</v>
      </c>
      <c r="J358" s="12" t="n">
        <v>0.1</v>
      </c>
      <c r="K358" s="11">
        <f>H358*I358*(1-J358)</f>
        <v/>
      </c>
      <c r="L358" s="11" t="n">
        <v>42</v>
      </c>
      <c r="M358" s="11">
        <f>K358-(H358*L358)</f>
        <v/>
      </c>
      <c r="N358" s="11">
        <f>H358*6</f>
        <v/>
      </c>
    </row>
    <row r="359">
      <c r="A359" t="inlineStr">
        <is>
          <t>LL-00358</t>
        </is>
      </c>
      <c r="B359" s="10" t="n">
        <v>46213</v>
      </c>
      <c r="C359" t="inlineStr">
        <is>
          <t>Jul</t>
        </is>
      </c>
      <c r="D359" t="inlineStr">
        <is>
          <t>West</t>
        </is>
      </c>
      <c r="E359" t="inlineStr">
        <is>
          <t>Retail</t>
        </is>
      </c>
      <c r="F359" t="inlineStr">
        <is>
          <t>Nest Basket</t>
        </is>
      </c>
      <c r="G359" t="inlineStr">
        <is>
          <t>Living</t>
        </is>
      </c>
      <c r="H359" t="n">
        <v>2</v>
      </c>
      <c r="I359" s="11" t="n">
        <v>55</v>
      </c>
      <c r="J359" s="12" t="n">
        <v>0</v>
      </c>
      <c r="K359" s="11">
        <f>H359*I359*(1-J359)</f>
        <v/>
      </c>
      <c r="L359" s="11" t="n">
        <v>24</v>
      </c>
      <c r="M359" s="11">
        <f>K359-(H359*L359)</f>
        <v/>
      </c>
      <c r="N359" s="11">
        <f>H359*6</f>
        <v/>
      </c>
    </row>
    <row r="360">
      <c r="A360" t="inlineStr">
        <is>
          <t>LL-00359</t>
        </is>
      </c>
      <c r="B360" s="10" t="n">
        <v>46037</v>
      </c>
      <c r="C360" t="inlineStr">
        <is>
          <t>Jan</t>
        </is>
      </c>
      <c r="D360" t="inlineStr">
        <is>
          <t>South</t>
        </is>
      </c>
      <c r="E360" t="inlineStr">
        <is>
          <t>Marketplace</t>
        </is>
      </c>
      <c r="F360" t="inlineStr">
        <is>
          <t>Nest Basket</t>
        </is>
      </c>
      <c r="G360" t="inlineStr">
        <is>
          <t>Living</t>
        </is>
      </c>
      <c r="H360" t="n">
        <v>7</v>
      </c>
      <c r="I360" s="11" t="n">
        <v>55</v>
      </c>
      <c r="J360" s="12" t="n">
        <v>0.1</v>
      </c>
      <c r="K360" s="11">
        <f>H360*I360*(1-J360)</f>
        <v/>
      </c>
      <c r="L360" s="11" t="n">
        <v>24</v>
      </c>
      <c r="M360" s="11">
        <f>K360-(H360*L360)</f>
        <v/>
      </c>
      <c r="N360" s="11">
        <f>H360*15</f>
        <v/>
      </c>
    </row>
    <row r="361">
      <c r="A361" t="inlineStr">
        <is>
          <t>LL-00360</t>
        </is>
      </c>
      <c r="B361" s="10" t="n">
        <v>46188</v>
      </c>
      <c r="C361" t="inlineStr">
        <is>
          <t>Jun</t>
        </is>
      </c>
      <c r="D361" t="inlineStr">
        <is>
          <t>East</t>
        </is>
      </c>
      <c r="E361" t="inlineStr">
        <is>
          <t>Retail</t>
        </is>
      </c>
      <c r="F361" t="inlineStr">
        <is>
          <t>Aurora Desk Lamp</t>
        </is>
      </c>
      <c r="G361" t="inlineStr">
        <is>
          <t>Lighting</t>
        </is>
      </c>
      <c r="H361" t="n">
        <v>3</v>
      </c>
      <c r="I361" s="11" t="n">
        <v>89</v>
      </c>
      <c r="J361" s="12" t="n">
        <v>0</v>
      </c>
      <c r="K361" s="11">
        <f>H361*I361*(1-J361)</f>
        <v/>
      </c>
      <c r="L361" s="11" t="n">
        <v>42</v>
      </c>
      <c r="M361" s="11">
        <f>K361-(H361*L361)</f>
        <v/>
      </c>
      <c r="N361" s="11">
        <f>H361*6</f>
        <v/>
      </c>
    </row>
    <row r="362">
      <c r="A362" t="inlineStr">
        <is>
          <t>LL-00361</t>
        </is>
      </c>
      <c r="B362" s="10" t="n">
        <v>46319</v>
      </c>
      <c r="C362" t="inlineStr">
        <is>
          <t>Oct</t>
        </is>
      </c>
      <c r="D362" t="inlineStr">
        <is>
          <t>North</t>
        </is>
      </c>
      <c r="E362" t="inlineStr">
        <is>
          <t>Retail</t>
        </is>
      </c>
      <c r="F362" t="inlineStr">
        <is>
          <t>Arc Side Table</t>
        </is>
      </c>
      <c r="G362" t="inlineStr">
        <is>
          <t>Living</t>
        </is>
      </c>
      <c r="H362" t="n">
        <v>7</v>
      </c>
      <c r="I362" s="11" t="n">
        <v>139</v>
      </c>
      <c r="J362" s="12" t="n">
        <v>0</v>
      </c>
      <c r="K362" s="11">
        <f>H362*I362*(1-J362)</f>
        <v/>
      </c>
      <c r="L362" s="11" t="n">
        <v>72</v>
      </c>
      <c r="M362" s="11">
        <f>K362-(H362*L362)</f>
        <v/>
      </c>
      <c r="N362" s="11">
        <f>H362*6</f>
        <v/>
      </c>
    </row>
    <row r="363">
      <c r="A363" t="inlineStr">
        <is>
          <t>LL-00362</t>
        </is>
      </c>
      <c r="B363" s="10" t="n">
        <v>46318</v>
      </c>
      <c r="C363" t="inlineStr">
        <is>
          <t>Oct</t>
        </is>
      </c>
      <c r="D363" t="inlineStr">
        <is>
          <t>South</t>
        </is>
      </c>
      <c r="E363" t="inlineStr">
        <is>
          <t>Marketplace</t>
        </is>
      </c>
      <c r="F363" t="inlineStr">
        <is>
          <t>Focus Monitor Stand</t>
        </is>
      </c>
      <c r="G363" t="inlineStr">
        <is>
          <t>Workspace</t>
        </is>
      </c>
      <c r="H363" t="n">
        <v>8</v>
      </c>
      <c r="I363" s="11" t="n">
        <v>79</v>
      </c>
      <c r="J363" s="12" t="n">
        <v>0.15</v>
      </c>
      <c r="K363" s="11">
        <f>H363*I363*(1-J363)</f>
        <v/>
      </c>
      <c r="L363" s="11" t="n">
        <v>36</v>
      </c>
      <c r="M363" s="11">
        <f>K363-(H363*L363)</f>
        <v/>
      </c>
      <c r="N363" s="11">
        <f>H363*15</f>
        <v/>
      </c>
    </row>
    <row r="364">
      <c r="A364" t="inlineStr">
        <is>
          <t>LL-00363</t>
        </is>
      </c>
      <c r="B364" s="10" t="n">
        <v>46190</v>
      </c>
      <c r="C364" t="inlineStr">
        <is>
          <t>Jun</t>
        </is>
      </c>
      <c r="D364" t="inlineStr">
        <is>
          <t>West</t>
        </is>
      </c>
      <c r="E364" t="inlineStr">
        <is>
          <t>Online</t>
        </is>
      </c>
      <c r="F364" t="inlineStr">
        <is>
          <t>Arc Side Table</t>
        </is>
      </c>
      <c r="G364" t="inlineStr">
        <is>
          <t>Living</t>
        </is>
      </c>
      <c r="H364" t="n">
        <v>3</v>
      </c>
      <c r="I364" s="11" t="n">
        <v>139</v>
      </c>
      <c r="J364" s="12" t="n">
        <v>0.05</v>
      </c>
      <c r="K364" s="11">
        <f>H364*I364*(1-J364)</f>
        <v/>
      </c>
      <c r="L364" s="11" t="n">
        <v>72</v>
      </c>
      <c r="M364" s="11">
        <f>K364-(H364*L364)</f>
        <v/>
      </c>
      <c r="N364" s="11">
        <f>H364*11</f>
        <v/>
      </c>
    </row>
    <row r="365">
      <c r="A365" t="inlineStr">
        <is>
          <t>LL-00364</t>
        </is>
      </c>
      <c r="B365" s="10" t="n">
        <v>46288</v>
      </c>
      <c r="C365" t="inlineStr">
        <is>
          <t>Sep</t>
        </is>
      </c>
      <c r="D365" t="inlineStr">
        <is>
          <t>East</t>
        </is>
      </c>
      <c r="E365" t="inlineStr">
        <is>
          <t>Online</t>
        </is>
      </c>
      <c r="F365" t="inlineStr">
        <is>
          <t>Nest Basket</t>
        </is>
      </c>
      <c r="G365" t="inlineStr">
        <is>
          <t>Living</t>
        </is>
      </c>
      <c r="H365" t="n">
        <v>3</v>
      </c>
      <c r="I365" s="11" t="n">
        <v>55</v>
      </c>
      <c r="J365" s="12" t="n">
        <v>0.1</v>
      </c>
      <c r="K365" s="11">
        <f>H365*I365*(1-J365)</f>
        <v/>
      </c>
      <c r="L365" s="11" t="n">
        <v>24</v>
      </c>
      <c r="M365" s="11">
        <f>K365-(H365*L365)</f>
        <v/>
      </c>
      <c r="N365" s="11">
        <f>H365*11</f>
        <v/>
      </c>
    </row>
    <row r="366">
      <c r="A366" t="inlineStr">
        <is>
          <t>LL-00365</t>
        </is>
      </c>
      <c r="B366" s="10" t="n">
        <v>46355</v>
      </c>
      <c r="C366" t="inlineStr">
        <is>
          <t>Nov</t>
        </is>
      </c>
      <c r="D366" t="inlineStr">
        <is>
          <t>South</t>
        </is>
      </c>
      <c r="E366" t="inlineStr">
        <is>
          <t>Online</t>
        </is>
      </c>
      <c r="F366" t="inlineStr">
        <is>
          <t>Focus Monitor Stand</t>
        </is>
      </c>
      <c r="G366" t="inlineStr">
        <is>
          <t>Workspace</t>
        </is>
      </c>
      <c r="H366" t="n">
        <v>7</v>
      </c>
      <c r="I366" s="11" t="n">
        <v>79</v>
      </c>
      <c r="J366" s="12" t="n">
        <v>0.1</v>
      </c>
      <c r="K366" s="11">
        <f>H366*I366*(1-J366)</f>
        <v/>
      </c>
      <c r="L366" s="11" t="n">
        <v>36</v>
      </c>
      <c r="M366" s="11">
        <f>K366-(H366*L366)</f>
        <v/>
      </c>
      <c r="N366" s="11">
        <f>H366*11</f>
        <v/>
      </c>
    </row>
    <row r="367">
      <c r="A367" t="inlineStr">
        <is>
          <t>LL-00366</t>
        </is>
      </c>
      <c r="B367" s="10" t="n">
        <v>46309</v>
      </c>
      <c r="C367" t="inlineStr">
        <is>
          <t>Oct</t>
        </is>
      </c>
      <c r="D367" t="inlineStr">
        <is>
          <t>West</t>
        </is>
      </c>
      <c r="E367" t="inlineStr">
        <is>
          <t>Retail</t>
        </is>
      </c>
      <c r="F367" t="inlineStr">
        <is>
          <t>Halo Floor Lamp</t>
        </is>
      </c>
      <c r="G367" t="inlineStr">
        <is>
          <t>Lighting</t>
        </is>
      </c>
      <c r="H367" t="n">
        <v>8</v>
      </c>
      <c r="I367" s="11" t="n">
        <v>159</v>
      </c>
      <c r="J367" s="12" t="n">
        <v>0.05</v>
      </c>
      <c r="K367" s="11">
        <f>H367*I367*(1-J367)</f>
        <v/>
      </c>
      <c r="L367" s="11" t="n">
        <v>79</v>
      </c>
      <c r="M367" s="11">
        <f>K367-(H367*L367)</f>
        <v/>
      </c>
      <c r="N367" s="11">
        <f>H367*6</f>
        <v/>
      </c>
    </row>
    <row r="368">
      <c r="A368" t="inlineStr">
        <is>
          <t>LL-00367</t>
        </is>
      </c>
      <c r="B368" s="10" t="n">
        <v>46270</v>
      </c>
      <c r="C368" t="inlineStr">
        <is>
          <t>Sep</t>
        </is>
      </c>
      <c r="D368" t="inlineStr">
        <is>
          <t>North</t>
        </is>
      </c>
      <c r="E368" t="inlineStr">
        <is>
          <t>Online</t>
        </is>
      </c>
      <c r="F368" t="inlineStr">
        <is>
          <t>Nest Basket</t>
        </is>
      </c>
      <c r="G368" t="inlineStr">
        <is>
          <t>Living</t>
        </is>
      </c>
      <c r="H368" t="n">
        <v>2</v>
      </c>
      <c r="I368" s="11" t="n">
        <v>55</v>
      </c>
      <c r="J368" s="12" t="n">
        <v>0.2</v>
      </c>
      <c r="K368" s="11">
        <f>H368*I368*(1-J368)</f>
        <v/>
      </c>
      <c r="L368" s="11" t="n">
        <v>24</v>
      </c>
      <c r="M368" s="11">
        <f>K368-(H368*L368)</f>
        <v/>
      </c>
      <c r="N368" s="11">
        <f>H368*11</f>
        <v/>
      </c>
    </row>
    <row r="369">
      <c r="A369" t="inlineStr">
        <is>
          <t>LL-00368</t>
        </is>
      </c>
      <c r="B369" s="10" t="n">
        <v>46330</v>
      </c>
      <c r="C369" t="inlineStr">
        <is>
          <t>Nov</t>
        </is>
      </c>
      <c r="D369" t="inlineStr">
        <is>
          <t>East</t>
        </is>
      </c>
      <c r="E369" t="inlineStr">
        <is>
          <t>Marketplace</t>
        </is>
      </c>
      <c r="F369" t="inlineStr">
        <is>
          <t>Arc Side Table</t>
        </is>
      </c>
      <c r="G369" t="inlineStr">
        <is>
          <t>Living</t>
        </is>
      </c>
      <c r="H369" t="n">
        <v>4</v>
      </c>
      <c r="I369" s="11" t="n">
        <v>139</v>
      </c>
      <c r="J369" s="12" t="n">
        <v>0</v>
      </c>
      <c r="K369" s="11">
        <f>H369*I369*(1-J369)</f>
        <v/>
      </c>
      <c r="L369" s="11" t="n">
        <v>72</v>
      </c>
      <c r="M369" s="11">
        <f>K369-(H369*L369)</f>
        <v/>
      </c>
      <c r="N369" s="11">
        <f>H369*15</f>
        <v/>
      </c>
    </row>
    <row r="370">
      <c r="A370" t="inlineStr">
        <is>
          <t>LL-00369</t>
        </is>
      </c>
      <c r="B370" s="10" t="n">
        <v>46324</v>
      </c>
      <c r="C370" t="inlineStr">
        <is>
          <t>Oct</t>
        </is>
      </c>
      <c r="D370" t="inlineStr">
        <is>
          <t>North</t>
        </is>
      </c>
      <c r="E370" t="inlineStr">
        <is>
          <t>Retail</t>
        </is>
      </c>
      <c r="F370" t="inlineStr">
        <is>
          <t>Nest Basket</t>
        </is>
      </c>
      <c r="G370" t="inlineStr">
        <is>
          <t>Living</t>
        </is>
      </c>
      <c r="H370" t="n">
        <v>4</v>
      </c>
      <c r="I370" s="11" t="n">
        <v>55</v>
      </c>
      <c r="J370" s="12" t="n">
        <v>0.05</v>
      </c>
      <c r="K370" s="11">
        <f>H370*I370*(1-J370)</f>
        <v/>
      </c>
      <c r="L370" s="11" t="n">
        <v>24</v>
      </c>
      <c r="M370" s="11">
        <f>K370-(H370*L370)</f>
        <v/>
      </c>
      <c r="N370" s="11">
        <f>H370*6</f>
        <v/>
      </c>
    </row>
    <row r="371">
      <c r="A371" t="inlineStr">
        <is>
          <t>LL-00370</t>
        </is>
      </c>
      <c r="B371" s="10" t="n">
        <v>46227</v>
      </c>
      <c r="C371" t="inlineStr">
        <is>
          <t>Jul</t>
        </is>
      </c>
      <c r="D371" t="inlineStr">
        <is>
          <t>North</t>
        </is>
      </c>
      <c r="E371" t="inlineStr">
        <is>
          <t>Online</t>
        </is>
      </c>
      <c r="F371" t="inlineStr">
        <is>
          <t>Luna Throw</t>
        </is>
      </c>
      <c r="G371" t="inlineStr">
        <is>
          <t>Living</t>
        </is>
      </c>
      <c r="H371" t="n">
        <v>2</v>
      </c>
      <c r="I371" s="11" t="n">
        <v>69</v>
      </c>
      <c r="J371" s="12" t="n">
        <v>0.15</v>
      </c>
      <c r="K371" s="11">
        <f>H371*I371*(1-J371)</f>
        <v/>
      </c>
      <c r="L371" s="11" t="n">
        <v>31</v>
      </c>
      <c r="M371" s="11">
        <f>K371-(H371*L371)</f>
        <v/>
      </c>
      <c r="N371" s="11">
        <f>H371*11</f>
        <v/>
      </c>
    </row>
    <row r="372">
      <c r="A372" t="inlineStr">
        <is>
          <t>LL-00371</t>
        </is>
      </c>
      <c r="B372" s="10" t="n">
        <v>46248</v>
      </c>
      <c r="C372" t="inlineStr">
        <is>
          <t>Aug</t>
        </is>
      </c>
      <c r="D372" t="inlineStr">
        <is>
          <t>North</t>
        </is>
      </c>
      <c r="E372" t="inlineStr">
        <is>
          <t>Marketplace</t>
        </is>
      </c>
      <c r="F372" t="inlineStr">
        <is>
          <t>Arc Side Table</t>
        </is>
      </c>
      <c r="G372" t="inlineStr">
        <is>
          <t>Living</t>
        </is>
      </c>
      <c r="H372" t="n">
        <v>3</v>
      </c>
      <c r="I372" s="11" t="n">
        <v>139</v>
      </c>
      <c r="J372" s="12" t="n">
        <v>0.15</v>
      </c>
      <c r="K372" s="11">
        <f>H372*I372*(1-J372)</f>
        <v/>
      </c>
      <c r="L372" s="11" t="n">
        <v>72</v>
      </c>
      <c r="M372" s="11">
        <f>K372-(H372*L372)</f>
        <v/>
      </c>
      <c r="N372" s="11">
        <f>H372*15</f>
        <v/>
      </c>
    </row>
    <row r="373">
      <c r="A373" t="inlineStr">
        <is>
          <t>LL-00372</t>
        </is>
      </c>
      <c r="B373" s="10" t="n">
        <v>46070</v>
      </c>
      <c r="C373" t="inlineStr">
        <is>
          <t>Feb</t>
        </is>
      </c>
      <c r="D373" t="inlineStr">
        <is>
          <t>West</t>
        </is>
      </c>
      <c r="E373" t="inlineStr">
        <is>
          <t>Online</t>
        </is>
      </c>
      <c r="F373" t="inlineStr">
        <is>
          <t>Focus Monitor Stand</t>
        </is>
      </c>
      <c r="G373" t="inlineStr">
        <is>
          <t>Workspace</t>
        </is>
      </c>
      <c r="H373" t="n">
        <v>5</v>
      </c>
      <c r="I373" s="11" t="n">
        <v>79</v>
      </c>
      <c r="J373" s="12" t="n">
        <v>0.1</v>
      </c>
      <c r="K373" s="11">
        <f>H373*I373*(1-J373)</f>
        <v/>
      </c>
      <c r="L373" s="11" t="n">
        <v>36</v>
      </c>
      <c r="M373" s="11">
        <f>K373-(H373*L373)</f>
        <v/>
      </c>
      <c r="N373" s="11">
        <f>H373*11</f>
        <v/>
      </c>
    </row>
    <row r="374">
      <c r="A374" t="inlineStr">
        <is>
          <t>LL-00373</t>
        </is>
      </c>
      <c r="B374" s="10" t="n">
        <v>46184</v>
      </c>
      <c r="C374" t="inlineStr">
        <is>
          <t>Jun</t>
        </is>
      </c>
      <c r="D374" t="inlineStr">
        <is>
          <t>East</t>
        </is>
      </c>
      <c r="E374" t="inlineStr">
        <is>
          <t>Marketplace</t>
        </is>
      </c>
      <c r="F374" t="inlineStr">
        <is>
          <t>Focus Monitor Stand</t>
        </is>
      </c>
      <c r="G374" t="inlineStr">
        <is>
          <t>Workspace</t>
        </is>
      </c>
      <c r="H374" t="n">
        <v>6</v>
      </c>
      <c r="I374" s="11" t="n">
        <v>79</v>
      </c>
      <c r="J374" s="12" t="n">
        <v>0.15</v>
      </c>
      <c r="K374" s="11">
        <f>H374*I374*(1-J374)</f>
        <v/>
      </c>
      <c r="L374" s="11" t="n">
        <v>36</v>
      </c>
      <c r="M374" s="11">
        <f>K374-(H374*L374)</f>
        <v/>
      </c>
      <c r="N374" s="11">
        <f>H374*15</f>
        <v/>
      </c>
    </row>
    <row r="375">
      <c r="A375" t="inlineStr">
        <is>
          <t>LL-00374</t>
        </is>
      </c>
      <c r="B375" s="10" t="n">
        <v>46255</v>
      </c>
      <c r="C375" t="inlineStr">
        <is>
          <t>Aug</t>
        </is>
      </c>
      <c r="D375" t="inlineStr">
        <is>
          <t>North</t>
        </is>
      </c>
      <c r="E375" t="inlineStr">
        <is>
          <t>Retail</t>
        </is>
      </c>
      <c r="F375" t="inlineStr">
        <is>
          <t>Nest Basket</t>
        </is>
      </c>
      <c r="G375" t="inlineStr">
        <is>
          <t>Living</t>
        </is>
      </c>
      <c r="H375" t="n">
        <v>7</v>
      </c>
      <c r="I375" s="11" t="n">
        <v>55</v>
      </c>
      <c r="J375" s="12" t="n">
        <v>0.05</v>
      </c>
      <c r="K375" s="11">
        <f>H375*I375*(1-J375)</f>
        <v/>
      </c>
      <c r="L375" s="11" t="n">
        <v>24</v>
      </c>
      <c r="M375" s="11">
        <f>K375-(H375*L375)</f>
        <v/>
      </c>
      <c r="N375" s="11">
        <f>H375*6</f>
        <v/>
      </c>
    </row>
    <row r="376">
      <c r="A376" t="inlineStr">
        <is>
          <t>LL-00375</t>
        </is>
      </c>
      <c r="B376" s="10" t="n">
        <v>46346</v>
      </c>
      <c r="C376" t="inlineStr">
        <is>
          <t>Nov</t>
        </is>
      </c>
      <c r="D376" t="inlineStr">
        <is>
          <t>West</t>
        </is>
      </c>
      <c r="E376" t="inlineStr">
        <is>
          <t>Retail</t>
        </is>
      </c>
      <c r="F376" t="inlineStr">
        <is>
          <t>Nest Basket</t>
        </is>
      </c>
      <c r="G376" t="inlineStr">
        <is>
          <t>Living</t>
        </is>
      </c>
      <c r="H376" t="n">
        <v>6</v>
      </c>
      <c r="I376" s="11" t="n">
        <v>55</v>
      </c>
      <c r="J376" s="12" t="n">
        <v>0.05</v>
      </c>
      <c r="K376" s="11">
        <f>H376*I376*(1-J376)</f>
        <v/>
      </c>
      <c r="L376" s="11" t="n">
        <v>24</v>
      </c>
      <c r="M376" s="11">
        <f>K376-(H376*L376)</f>
        <v/>
      </c>
      <c r="N376" s="11">
        <f>H376*6</f>
        <v/>
      </c>
    </row>
    <row r="377">
      <c r="A377" t="inlineStr">
        <is>
          <t>LL-00376</t>
        </is>
      </c>
      <c r="B377" s="10" t="n">
        <v>46058</v>
      </c>
      <c r="C377" t="inlineStr">
        <is>
          <t>Feb</t>
        </is>
      </c>
      <c r="D377" t="inlineStr">
        <is>
          <t>North</t>
        </is>
      </c>
      <c r="E377" t="inlineStr">
        <is>
          <t>Online</t>
        </is>
      </c>
      <c r="F377" t="inlineStr">
        <is>
          <t>Nest Basket</t>
        </is>
      </c>
      <c r="G377" t="inlineStr">
        <is>
          <t>Living</t>
        </is>
      </c>
      <c r="H377" t="n">
        <v>8</v>
      </c>
      <c r="I377" s="11" t="n">
        <v>55</v>
      </c>
      <c r="J377" s="12" t="n">
        <v>0.1</v>
      </c>
      <c r="K377" s="11">
        <f>H377*I377*(1-J377)</f>
        <v/>
      </c>
      <c r="L377" s="11" t="n">
        <v>24</v>
      </c>
      <c r="M377" s="11">
        <f>K377-(H377*L377)</f>
        <v/>
      </c>
      <c r="N377" s="11">
        <f>H377*11</f>
        <v/>
      </c>
    </row>
    <row r="378">
      <c r="A378" t="inlineStr">
        <is>
          <t>LL-00377</t>
        </is>
      </c>
      <c r="B378" s="10" t="n">
        <v>46306</v>
      </c>
      <c r="C378" t="inlineStr">
        <is>
          <t>Oct</t>
        </is>
      </c>
      <c r="D378" t="inlineStr">
        <is>
          <t>East</t>
        </is>
      </c>
      <c r="E378" t="inlineStr">
        <is>
          <t>Marketplace</t>
        </is>
      </c>
      <c r="F378" t="inlineStr">
        <is>
          <t>Nest Basket</t>
        </is>
      </c>
      <c r="G378" t="inlineStr">
        <is>
          <t>Living</t>
        </is>
      </c>
      <c r="H378" t="n">
        <v>7</v>
      </c>
      <c r="I378" s="11" t="n">
        <v>55</v>
      </c>
      <c r="J378" s="12" t="n">
        <v>0</v>
      </c>
      <c r="K378" s="11">
        <f>H378*I378*(1-J378)</f>
        <v/>
      </c>
      <c r="L378" s="11" t="n">
        <v>24</v>
      </c>
      <c r="M378" s="11">
        <f>K378-(H378*L378)</f>
        <v/>
      </c>
      <c r="N378" s="11">
        <f>H378*15</f>
        <v/>
      </c>
    </row>
    <row r="379">
      <c r="A379" t="inlineStr">
        <is>
          <t>LL-00378</t>
        </is>
      </c>
      <c r="B379" s="10" t="n">
        <v>46099</v>
      </c>
      <c r="C379" t="inlineStr">
        <is>
          <t>Mar</t>
        </is>
      </c>
      <c r="D379" t="inlineStr">
        <is>
          <t>East</t>
        </is>
      </c>
      <c r="E379" t="inlineStr">
        <is>
          <t>Online</t>
        </is>
      </c>
      <c r="F379" t="inlineStr">
        <is>
          <t>Nest Basket</t>
        </is>
      </c>
      <c r="G379" t="inlineStr">
        <is>
          <t>Living</t>
        </is>
      </c>
      <c r="H379" t="n">
        <v>6</v>
      </c>
      <c r="I379" s="11" t="n">
        <v>55</v>
      </c>
      <c r="J379" s="12" t="n">
        <v>0</v>
      </c>
      <c r="K379" s="11">
        <f>H379*I379*(1-J379)</f>
        <v/>
      </c>
      <c r="L379" s="11" t="n">
        <v>24</v>
      </c>
      <c r="M379" s="11">
        <f>K379-(H379*L379)</f>
        <v/>
      </c>
      <c r="N379" s="11">
        <f>H379*11</f>
        <v/>
      </c>
    </row>
    <row r="380">
      <c r="A380" t="inlineStr">
        <is>
          <t>LL-00379</t>
        </is>
      </c>
      <c r="B380" s="10" t="n">
        <v>46349</v>
      </c>
      <c r="C380" t="inlineStr">
        <is>
          <t>Nov</t>
        </is>
      </c>
      <c r="D380" t="inlineStr">
        <is>
          <t>North</t>
        </is>
      </c>
      <c r="E380" t="inlineStr">
        <is>
          <t>Online</t>
        </is>
      </c>
      <c r="F380" t="inlineStr">
        <is>
          <t>Arc Side Table</t>
        </is>
      </c>
      <c r="G380" t="inlineStr">
        <is>
          <t>Living</t>
        </is>
      </c>
      <c r="H380" t="n">
        <v>7</v>
      </c>
      <c r="I380" s="11" t="n">
        <v>139</v>
      </c>
      <c r="J380" s="12" t="n">
        <v>0.1</v>
      </c>
      <c r="K380" s="11">
        <f>H380*I380*(1-J380)</f>
        <v/>
      </c>
      <c r="L380" s="11" t="n">
        <v>72</v>
      </c>
      <c r="M380" s="11">
        <f>K380-(H380*L380)</f>
        <v/>
      </c>
      <c r="N380" s="11">
        <f>H380*11</f>
        <v/>
      </c>
    </row>
    <row r="381">
      <c r="A381" t="inlineStr">
        <is>
          <t>LL-00380</t>
        </is>
      </c>
      <c r="B381" s="10" t="n">
        <v>46044</v>
      </c>
      <c r="C381" t="inlineStr">
        <is>
          <t>Jan</t>
        </is>
      </c>
      <c r="D381" t="inlineStr">
        <is>
          <t>North</t>
        </is>
      </c>
      <c r="E381" t="inlineStr">
        <is>
          <t>Marketplace</t>
        </is>
      </c>
      <c r="F381" t="inlineStr">
        <is>
          <t>Arc Side Table</t>
        </is>
      </c>
      <c r="G381" t="inlineStr">
        <is>
          <t>Living</t>
        </is>
      </c>
      <c r="H381" t="n">
        <v>6</v>
      </c>
      <c r="I381" s="11" t="n">
        <v>139</v>
      </c>
      <c r="J381" s="12" t="n">
        <v>0</v>
      </c>
      <c r="K381" s="11">
        <f>H381*I381*(1-J381)</f>
        <v/>
      </c>
      <c r="L381" s="11" t="n">
        <v>72</v>
      </c>
      <c r="M381" s="11">
        <f>K381-(H381*L381)</f>
        <v/>
      </c>
      <c r="N381" s="11">
        <f>H381*15</f>
        <v/>
      </c>
    </row>
    <row r="382">
      <c r="A382" t="inlineStr">
        <is>
          <t>LL-00381</t>
        </is>
      </c>
      <c r="B382" s="10" t="n">
        <v>46341</v>
      </c>
      <c r="C382" t="inlineStr">
        <is>
          <t>Nov</t>
        </is>
      </c>
      <c r="D382" t="inlineStr">
        <is>
          <t>East</t>
        </is>
      </c>
      <c r="E382" t="inlineStr">
        <is>
          <t>Online</t>
        </is>
      </c>
      <c r="F382" t="inlineStr">
        <is>
          <t>Aurora Desk Lamp</t>
        </is>
      </c>
      <c r="G382" t="inlineStr">
        <is>
          <t>Lighting</t>
        </is>
      </c>
      <c r="H382" t="n">
        <v>1</v>
      </c>
      <c r="I382" s="11" t="n">
        <v>89</v>
      </c>
      <c r="J382" s="12" t="n">
        <v>0</v>
      </c>
      <c r="K382" s="11">
        <f>H382*I382*(1-J382)</f>
        <v/>
      </c>
      <c r="L382" s="11" t="n">
        <v>42</v>
      </c>
      <c r="M382" s="11">
        <f>K382-(H382*L382)</f>
        <v/>
      </c>
      <c r="N382" s="11">
        <f>H382*11</f>
        <v/>
      </c>
    </row>
    <row r="383">
      <c r="A383" t="inlineStr">
        <is>
          <t>LL-00382</t>
        </is>
      </c>
      <c r="B383" s="10" t="n">
        <v>46275</v>
      </c>
      <c r="C383" t="inlineStr">
        <is>
          <t>Sep</t>
        </is>
      </c>
      <c r="D383" t="inlineStr">
        <is>
          <t>East</t>
        </is>
      </c>
      <c r="E383" t="inlineStr">
        <is>
          <t>Marketplace</t>
        </is>
      </c>
      <c r="F383" t="inlineStr">
        <is>
          <t>Focus Monitor Stand</t>
        </is>
      </c>
      <c r="G383" t="inlineStr">
        <is>
          <t>Workspace</t>
        </is>
      </c>
      <c r="H383" t="n">
        <v>4</v>
      </c>
      <c r="I383" s="11" t="n">
        <v>79</v>
      </c>
      <c r="J383" s="12" t="n">
        <v>0</v>
      </c>
      <c r="K383" s="11">
        <f>H383*I383*(1-J383)</f>
        <v/>
      </c>
      <c r="L383" s="11" t="n">
        <v>36</v>
      </c>
      <c r="M383" s="11">
        <f>K383-(H383*L383)</f>
        <v/>
      </c>
      <c r="N383" s="11">
        <f>H383*15</f>
        <v/>
      </c>
    </row>
    <row r="384">
      <c r="A384" t="inlineStr">
        <is>
          <t>LL-00383</t>
        </is>
      </c>
      <c r="B384" s="10" t="n">
        <v>46116</v>
      </c>
      <c r="C384" t="inlineStr">
        <is>
          <t>Apr</t>
        </is>
      </c>
      <c r="D384" t="inlineStr">
        <is>
          <t>West</t>
        </is>
      </c>
      <c r="E384" t="inlineStr">
        <is>
          <t>Retail</t>
        </is>
      </c>
      <c r="F384" t="inlineStr">
        <is>
          <t>Luna Throw</t>
        </is>
      </c>
      <c r="G384" t="inlineStr">
        <is>
          <t>Living</t>
        </is>
      </c>
      <c r="H384" t="n">
        <v>3</v>
      </c>
      <c r="I384" s="11" t="n">
        <v>69</v>
      </c>
      <c r="J384" s="12" t="n">
        <v>0</v>
      </c>
      <c r="K384" s="11">
        <f>H384*I384*(1-J384)</f>
        <v/>
      </c>
      <c r="L384" s="11" t="n">
        <v>31</v>
      </c>
      <c r="M384" s="11">
        <f>K384-(H384*L384)</f>
        <v/>
      </c>
      <c r="N384" s="11">
        <f>H384*6</f>
        <v/>
      </c>
    </row>
    <row r="385">
      <c r="A385" t="inlineStr">
        <is>
          <t>LL-00384</t>
        </is>
      </c>
      <c r="B385" s="10" t="n">
        <v>46179</v>
      </c>
      <c r="C385" t="inlineStr">
        <is>
          <t>Jun</t>
        </is>
      </c>
      <c r="D385" t="inlineStr">
        <is>
          <t>North</t>
        </is>
      </c>
      <c r="E385" t="inlineStr">
        <is>
          <t>Retail</t>
        </is>
      </c>
      <c r="F385" t="inlineStr">
        <is>
          <t>Aurora Desk Lamp</t>
        </is>
      </c>
      <c r="G385" t="inlineStr">
        <is>
          <t>Lighting</t>
        </is>
      </c>
      <c r="H385" t="n">
        <v>8</v>
      </c>
      <c r="I385" s="11" t="n">
        <v>89</v>
      </c>
      <c r="J385" s="12" t="n">
        <v>0.1</v>
      </c>
      <c r="K385" s="11">
        <f>H385*I385*(1-J385)</f>
        <v/>
      </c>
      <c r="L385" s="11" t="n">
        <v>42</v>
      </c>
      <c r="M385" s="11">
        <f>K385-(H385*L385)</f>
        <v/>
      </c>
      <c r="N385" s="11">
        <f>H385*6</f>
        <v/>
      </c>
    </row>
    <row r="386">
      <c r="A386" t="inlineStr">
        <is>
          <t>LL-00385</t>
        </is>
      </c>
      <c r="B386" s="10" t="n">
        <v>46364</v>
      </c>
      <c r="C386" t="inlineStr">
        <is>
          <t>Dec</t>
        </is>
      </c>
      <c r="D386" t="inlineStr">
        <is>
          <t>South</t>
        </is>
      </c>
      <c r="E386" t="inlineStr">
        <is>
          <t>Online</t>
        </is>
      </c>
      <c r="F386" t="inlineStr">
        <is>
          <t>Nest Basket</t>
        </is>
      </c>
      <c r="G386" t="inlineStr">
        <is>
          <t>Living</t>
        </is>
      </c>
      <c r="H386" t="n">
        <v>8</v>
      </c>
      <c r="I386" s="11" t="n">
        <v>55</v>
      </c>
      <c r="J386" s="12" t="n">
        <v>0.05</v>
      </c>
      <c r="K386" s="11">
        <f>H386*I386*(1-J386)</f>
        <v/>
      </c>
      <c r="L386" s="11" t="n">
        <v>24</v>
      </c>
      <c r="M386" s="11">
        <f>K386-(H386*L386)</f>
        <v/>
      </c>
      <c r="N386" s="11">
        <f>H386*11</f>
        <v/>
      </c>
    </row>
    <row r="387">
      <c r="A387" t="inlineStr">
        <is>
          <t>LL-00386</t>
        </is>
      </c>
      <c r="B387" s="10" t="n">
        <v>46071</v>
      </c>
      <c r="C387" t="inlineStr">
        <is>
          <t>Feb</t>
        </is>
      </c>
      <c r="D387" t="inlineStr">
        <is>
          <t>East</t>
        </is>
      </c>
      <c r="E387" t="inlineStr">
        <is>
          <t>Marketplace</t>
        </is>
      </c>
      <c r="F387" t="inlineStr">
        <is>
          <t>Aurora Desk Lamp</t>
        </is>
      </c>
      <c r="G387" t="inlineStr">
        <is>
          <t>Lighting</t>
        </is>
      </c>
      <c r="H387" t="n">
        <v>3</v>
      </c>
      <c r="I387" s="11" t="n">
        <v>89</v>
      </c>
      <c r="J387" s="12" t="n">
        <v>0.2</v>
      </c>
      <c r="K387" s="11">
        <f>H387*I387*(1-J387)</f>
        <v/>
      </c>
      <c r="L387" s="11" t="n">
        <v>42</v>
      </c>
      <c r="M387" s="11">
        <f>K387-(H387*L387)</f>
        <v/>
      </c>
      <c r="N387" s="11">
        <f>H387*15</f>
        <v/>
      </c>
    </row>
    <row r="388">
      <c r="A388" t="inlineStr">
        <is>
          <t>LL-00387</t>
        </is>
      </c>
      <c r="B388" s="10" t="n">
        <v>46334</v>
      </c>
      <c r="C388" t="inlineStr">
        <is>
          <t>Nov</t>
        </is>
      </c>
      <c r="D388" t="inlineStr">
        <is>
          <t>East</t>
        </is>
      </c>
      <c r="E388" t="inlineStr">
        <is>
          <t>Online</t>
        </is>
      </c>
      <c r="F388" t="inlineStr">
        <is>
          <t>Aurora Desk Lamp</t>
        </is>
      </c>
      <c r="G388" t="inlineStr">
        <is>
          <t>Lighting</t>
        </is>
      </c>
      <c r="H388" t="n">
        <v>1</v>
      </c>
      <c r="I388" s="11" t="n">
        <v>89</v>
      </c>
      <c r="J388" s="12" t="n">
        <v>0</v>
      </c>
      <c r="K388" s="11">
        <f>H388*I388*(1-J388)</f>
        <v/>
      </c>
      <c r="L388" s="11" t="n">
        <v>42</v>
      </c>
      <c r="M388" s="11">
        <f>K388-(H388*L388)</f>
        <v/>
      </c>
      <c r="N388" s="11">
        <f>H388*11</f>
        <v/>
      </c>
    </row>
    <row r="389">
      <c r="A389" t="inlineStr">
        <is>
          <t>LL-00388</t>
        </is>
      </c>
      <c r="B389" s="10" t="n">
        <v>46054</v>
      </c>
      <c r="C389" t="inlineStr">
        <is>
          <t>Feb</t>
        </is>
      </c>
      <c r="D389" t="inlineStr">
        <is>
          <t>North</t>
        </is>
      </c>
      <c r="E389" t="inlineStr">
        <is>
          <t>Retail</t>
        </is>
      </c>
      <c r="F389" t="inlineStr">
        <is>
          <t>Halo Floor Lamp</t>
        </is>
      </c>
      <c r="G389" t="inlineStr">
        <is>
          <t>Lighting</t>
        </is>
      </c>
      <c r="H389" t="n">
        <v>2</v>
      </c>
      <c r="I389" s="11" t="n">
        <v>159</v>
      </c>
      <c r="J389" s="12" t="n">
        <v>0.05</v>
      </c>
      <c r="K389" s="11">
        <f>H389*I389*(1-J389)</f>
        <v/>
      </c>
      <c r="L389" s="11" t="n">
        <v>79</v>
      </c>
      <c r="M389" s="11">
        <f>K389-(H389*L389)</f>
        <v/>
      </c>
      <c r="N389" s="11">
        <f>H389*6</f>
        <v/>
      </c>
    </row>
    <row r="390">
      <c r="A390" t="inlineStr">
        <is>
          <t>LL-00389</t>
        </is>
      </c>
      <c r="B390" s="10" t="n">
        <v>46344</v>
      </c>
      <c r="C390" t="inlineStr">
        <is>
          <t>Nov</t>
        </is>
      </c>
      <c r="D390" t="inlineStr">
        <is>
          <t>North</t>
        </is>
      </c>
      <c r="E390" t="inlineStr">
        <is>
          <t>Online</t>
        </is>
      </c>
      <c r="F390" t="inlineStr">
        <is>
          <t>Nest Basket</t>
        </is>
      </c>
      <c r="G390" t="inlineStr">
        <is>
          <t>Living</t>
        </is>
      </c>
      <c r="H390" t="n">
        <v>6</v>
      </c>
      <c r="I390" s="11" t="n">
        <v>55</v>
      </c>
      <c r="J390" s="12" t="n">
        <v>0</v>
      </c>
      <c r="K390" s="11">
        <f>H390*I390*(1-J390)</f>
        <v/>
      </c>
      <c r="L390" s="11" t="n">
        <v>24</v>
      </c>
      <c r="M390" s="11">
        <f>K390-(H390*L390)</f>
        <v/>
      </c>
      <c r="N390" s="11">
        <f>H390*11</f>
        <v/>
      </c>
    </row>
    <row r="391">
      <c r="A391" t="inlineStr">
        <is>
          <t>LL-00390</t>
        </is>
      </c>
      <c r="B391" s="10" t="n">
        <v>46188</v>
      </c>
      <c r="C391" t="inlineStr">
        <is>
          <t>Jun</t>
        </is>
      </c>
      <c r="D391" t="inlineStr">
        <is>
          <t>East</t>
        </is>
      </c>
      <c r="E391" t="inlineStr">
        <is>
          <t>Retail</t>
        </is>
      </c>
      <c r="F391" t="inlineStr">
        <is>
          <t>Halo Floor Lamp</t>
        </is>
      </c>
      <c r="G391" t="inlineStr">
        <is>
          <t>Lighting</t>
        </is>
      </c>
      <c r="H391" t="n">
        <v>1</v>
      </c>
      <c r="I391" s="11" t="n">
        <v>159</v>
      </c>
      <c r="J391" s="12" t="n">
        <v>0</v>
      </c>
      <c r="K391" s="11">
        <f>H391*I391*(1-J391)</f>
        <v/>
      </c>
      <c r="L391" s="11" t="n">
        <v>79</v>
      </c>
      <c r="M391" s="11">
        <f>K391-(H391*L391)</f>
        <v/>
      </c>
      <c r="N391" s="11">
        <f>H391*6</f>
        <v/>
      </c>
    </row>
    <row r="392">
      <c r="A392" t="inlineStr">
        <is>
          <t>LL-00391</t>
        </is>
      </c>
      <c r="B392" s="10" t="n">
        <v>46360</v>
      </c>
      <c r="C392" t="inlineStr">
        <is>
          <t>Dec</t>
        </is>
      </c>
      <c r="D392" t="inlineStr">
        <is>
          <t>North</t>
        </is>
      </c>
      <c r="E392" t="inlineStr">
        <is>
          <t>Marketplace</t>
        </is>
      </c>
      <c r="F392" t="inlineStr">
        <is>
          <t>Halo Floor Lamp</t>
        </is>
      </c>
      <c r="G392" t="inlineStr">
        <is>
          <t>Lighting</t>
        </is>
      </c>
      <c r="H392" t="n">
        <v>6</v>
      </c>
      <c r="I392" s="11" t="n">
        <v>159</v>
      </c>
      <c r="J392" s="12" t="n">
        <v>0.05</v>
      </c>
      <c r="K392" s="11">
        <f>H392*I392*(1-J392)</f>
        <v/>
      </c>
      <c r="L392" s="11" t="n">
        <v>79</v>
      </c>
      <c r="M392" s="11">
        <f>K392-(H392*L392)</f>
        <v/>
      </c>
      <c r="N392" s="11">
        <f>H392*15</f>
        <v/>
      </c>
    </row>
    <row r="393">
      <c r="A393" t="inlineStr">
        <is>
          <t>LL-00392</t>
        </is>
      </c>
      <c r="B393" s="10" t="n">
        <v>46374</v>
      </c>
      <c r="C393" t="inlineStr">
        <is>
          <t>Dec</t>
        </is>
      </c>
      <c r="D393" t="inlineStr">
        <is>
          <t>South</t>
        </is>
      </c>
      <c r="E393" t="inlineStr">
        <is>
          <t>Online</t>
        </is>
      </c>
      <c r="F393" t="inlineStr">
        <is>
          <t>Luna Throw</t>
        </is>
      </c>
      <c r="G393" t="inlineStr">
        <is>
          <t>Living</t>
        </is>
      </c>
      <c r="H393" t="n">
        <v>6</v>
      </c>
      <c r="I393" s="11" t="n">
        <v>69</v>
      </c>
      <c r="J393" s="12" t="n">
        <v>0.1</v>
      </c>
      <c r="K393" s="11">
        <f>H393*I393*(1-J393)</f>
        <v/>
      </c>
      <c r="L393" s="11" t="n">
        <v>31</v>
      </c>
      <c r="M393" s="11">
        <f>K393-(H393*L393)</f>
        <v/>
      </c>
      <c r="N393" s="11">
        <f>H393*11</f>
        <v/>
      </c>
    </row>
    <row r="394">
      <c r="A394" t="inlineStr">
        <is>
          <t>LL-00393</t>
        </is>
      </c>
      <c r="B394" s="10" t="n">
        <v>46256</v>
      </c>
      <c r="C394" t="inlineStr">
        <is>
          <t>Aug</t>
        </is>
      </c>
      <c r="D394" t="inlineStr">
        <is>
          <t>West</t>
        </is>
      </c>
      <c r="E394" t="inlineStr">
        <is>
          <t>Marketplace</t>
        </is>
      </c>
      <c r="F394" t="inlineStr">
        <is>
          <t>Nest Basket</t>
        </is>
      </c>
      <c r="G394" t="inlineStr">
        <is>
          <t>Living</t>
        </is>
      </c>
      <c r="H394" t="n">
        <v>6</v>
      </c>
      <c r="I394" s="11" t="n">
        <v>55</v>
      </c>
      <c r="J394" s="12" t="n">
        <v>0.15</v>
      </c>
      <c r="K394" s="11">
        <f>H394*I394*(1-J394)</f>
        <v/>
      </c>
      <c r="L394" s="11" t="n">
        <v>24</v>
      </c>
      <c r="M394" s="11">
        <f>K394-(H394*L394)</f>
        <v/>
      </c>
      <c r="N394" s="11">
        <f>H394*15</f>
        <v/>
      </c>
    </row>
    <row r="395">
      <c r="A395" t="inlineStr">
        <is>
          <t>LL-00394</t>
        </is>
      </c>
      <c r="B395" s="10" t="n">
        <v>46031</v>
      </c>
      <c r="C395" t="inlineStr">
        <is>
          <t>Jan</t>
        </is>
      </c>
      <c r="D395" t="inlineStr">
        <is>
          <t>North</t>
        </is>
      </c>
      <c r="E395" t="inlineStr">
        <is>
          <t>Online</t>
        </is>
      </c>
      <c r="F395" t="inlineStr">
        <is>
          <t>Aurora Desk Lamp</t>
        </is>
      </c>
      <c r="G395" t="inlineStr">
        <is>
          <t>Lighting</t>
        </is>
      </c>
      <c r="H395" t="n">
        <v>2</v>
      </c>
      <c r="I395" s="11" t="n">
        <v>89</v>
      </c>
      <c r="J395" s="12" t="n">
        <v>0.1</v>
      </c>
      <c r="K395" s="11">
        <f>H395*I395*(1-J395)</f>
        <v/>
      </c>
      <c r="L395" s="11" t="n">
        <v>42</v>
      </c>
      <c r="M395" s="11">
        <f>K395-(H395*L395)</f>
        <v/>
      </c>
      <c r="N395" s="11">
        <f>H395*11</f>
        <v/>
      </c>
    </row>
    <row r="396">
      <c r="A396" t="inlineStr">
        <is>
          <t>LL-00395</t>
        </is>
      </c>
      <c r="B396" s="10" t="n">
        <v>46341</v>
      </c>
      <c r="C396" t="inlineStr">
        <is>
          <t>Nov</t>
        </is>
      </c>
      <c r="D396" t="inlineStr">
        <is>
          <t>North</t>
        </is>
      </c>
      <c r="E396" t="inlineStr">
        <is>
          <t>Online</t>
        </is>
      </c>
      <c r="F396" t="inlineStr">
        <is>
          <t>Aurora Desk Lamp</t>
        </is>
      </c>
      <c r="G396" t="inlineStr">
        <is>
          <t>Lighting</t>
        </is>
      </c>
      <c r="H396" t="n">
        <v>1</v>
      </c>
      <c r="I396" s="11" t="n">
        <v>89</v>
      </c>
      <c r="J396" s="12" t="n">
        <v>0.1</v>
      </c>
      <c r="K396" s="11">
        <f>H396*I396*(1-J396)</f>
        <v/>
      </c>
      <c r="L396" s="11" t="n">
        <v>42</v>
      </c>
      <c r="M396" s="11">
        <f>K396-(H396*L396)</f>
        <v/>
      </c>
      <c r="N396" s="11">
        <f>H396*11</f>
        <v/>
      </c>
    </row>
    <row r="397">
      <c r="A397" t="inlineStr">
        <is>
          <t>LL-00396</t>
        </is>
      </c>
      <c r="B397" s="10" t="n">
        <v>46027</v>
      </c>
      <c r="C397" t="inlineStr">
        <is>
          <t>Jan</t>
        </is>
      </c>
      <c r="D397" t="inlineStr">
        <is>
          <t>West</t>
        </is>
      </c>
      <c r="E397" t="inlineStr">
        <is>
          <t>Retail</t>
        </is>
      </c>
      <c r="F397" t="inlineStr">
        <is>
          <t>Arc Side Table</t>
        </is>
      </c>
      <c r="G397" t="inlineStr">
        <is>
          <t>Living</t>
        </is>
      </c>
      <c r="H397" t="n">
        <v>4</v>
      </c>
      <c r="I397" s="11" t="n">
        <v>139</v>
      </c>
      <c r="J397" s="12" t="n">
        <v>0</v>
      </c>
      <c r="K397" s="11">
        <f>H397*I397*(1-J397)</f>
        <v/>
      </c>
      <c r="L397" s="11" t="n">
        <v>72</v>
      </c>
      <c r="M397" s="11">
        <f>K397-(H397*L397)</f>
        <v/>
      </c>
      <c r="N397" s="11">
        <f>H397*6</f>
        <v/>
      </c>
    </row>
    <row r="398">
      <c r="A398" t="inlineStr">
        <is>
          <t>LL-00397</t>
        </is>
      </c>
      <c r="B398" s="10" t="n">
        <v>46113</v>
      </c>
      <c r="C398" t="inlineStr">
        <is>
          <t>Apr</t>
        </is>
      </c>
      <c r="D398" t="inlineStr">
        <is>
          <t>West</t>
        </is>
      </c>
      <c r="E398" t="inlineStr">
        <is>
          <t>Retail</t>
        </is>
      </c>
      <c r="F398" t="inlineStr">
        <is>
          <t>Nest Basket</t>
        </is>
      </c>
      <c r="G398" t="inlineStr">
        <is>
          <t>Living</t>
        </is>
      </c>
      <c r="H398" t="n">
        <v>6</v>
      </c>
      <c r="I398" s="11" t="n">
        <v>55</v>
      </c>
      <c r="J398" s="12" t="n">
        <v>0.1</v>
      </c>
      <c r="K398" s="11">
        <f>H398*I398*(1-J398)</f>
        <v/>
      </c>
      <c r="L398" s="11" t="n">
        <v>24</v>
      </c>
      <c r="M398" s="11">
        <f>K398-(H398*L398)</f>
        <v/>
      </c>
      <c r="N398" s="11">
        <f>H398*6</f>
        <v/>
      </c>
    </row>
    <row r="399">
      <c r="A399" t="inlineStr">
        <is>
          <t>LL-00398</t>
        </is>
      </c>
      <c r="B399" s="10" t="n">
        <v>46087</v>
      </c>
      <c r="C399" t="inlineStr">
        <is>
          <t>Mar</t>
        </is>
      </c>
      <c r="D399" t="inlineStr">
        <is>
          <t>East</t>
        </is>
      </c>
      <c r="E399" t="inlineStr">
        <is>
          <t>Marketplace</t>
        </is>
      </c>
      <c r="F399" t="inlineStr">
        <is>
          <t>Luna Throw</t>
        </is>
      </c>
      <c r="G399" t="inlineStr">
        <is>
          <t>Living</t>
        </is>
      </c>
      <c r="H399" t="n">
        <v>5</v>
      </c>
      <c r="I399" s="11" t="n">
        <v>69</v>
      </c>
      <c r="J399" s="12" t="n">
        <v>0.05</v>
      </c>
      <c r="K399" s="11">
        <f>H399*I399*(1-J399)</f>
        <v/>
      </c>
      <c r="L399" s="11" t="n">
        <v>31</v>
      </c>
      <c r="M399" s="11">
        <f>K399-(H399*L399)</f>
        <v/>
      </c>
      <c r="N399" s="11">
        <f>H399*15</f>
        <v/>
      </c>
    </row>
    <row r="400">
      <c r="A400" t="inlineStr">
        <is>
          <t>LL-00399</t>
        </is>
      </c>
      <c r="B400" s="10" t="n">
        <v>46368</v>
      </c>
      <c r="C400" t="inlineStr">
        <is>
          <t>Dec</t>
        </is>
      </c>
      <c r="D400" t="inlineStr">
        <is>
          <t>East</t>
        </is>
      </c>
      <c r="E400" t="inlineStr">
        <is>
          <t>Retail</t>
        </is>
      </c>
      <c r="F400" t="inlineStr">
        <is>
          <t>Luna Throw</t>
        </is>
      </c>
      <c r="G400" t="inlineStr">
        <is>
          <t>Living</t>
        </is>
      </c>
      <c r="H400" t="n">
        <v>7</v>
      </c>
      <c r="I400" s="11" t="n">
        <v>69</v>
      </c>
      <c r="J400" s="12" t="n">
        <v>0.05</v>
      </c>
      <c r="K400" s="11">
        <f>H400*I400*(1-J400)</f>
        <v/>
      </c>
      <c r="L400" s="11" t="n">
        <v>31</v>
      </c>
      <c r="M400" s="11">
        <f>K400-(H400*L400)</f>
        <v/>
      </c>
      <c r="N400" s="11">
        <f>H400*6</f>
        <v/>
      </c>
    </row>
    <row r="401">
      <c r="A401" t="inlineStr">
        <is>
          <t>LL-00400</t>
        </is>
      </c>
      <c r="B401" s="10" t="n">
        <v>46241</v>
      </c>
      <c r="C401" t="inlineStr">
        <is>
          <t>Aug</t>
        </is>
      </c>
      <c r="D401" t="inlineStr">
        <is>
          <t>West</t>
        </is>
      </c>
      <c r="E401" t="inlineStr">
        <is>
          <t>Retail</t>
        </is>
      </c>
      <c r="F401" t="inlineStr">
        <is>
          <t>Luna Throw</t>
        </is>
      </c>
      <c r="G401" t="inlineStr">
        <is>
          <t>Living</t>
        </is>
      </c>
      <c r="H401" t="n">
        <v>3</v>
      </c>
      <c r="I401" s="11" t="n">
        <v>69</v>
      </c>
      <c r="J401" s="12" t="n">
        <v>0.05</v>
      </c>
      <c r="K401" s="11">
        <f>H401*I401*(1-J401)</f>
        <v/>
      </c>
      <c r="L401" s="11" t="n">
        <v>31</v>
      </c>
      <c r="M401" s="11">
        <f>K401-(H401*L401)</f>
        <v/>
      </c>
      <c r="N401" s="11">
        <f>H401*6</f>
        <v/>
      </c>
    </row>
    <row r="402">
      <c r="A402" t="inlineStr">
        <is>
          <t>LL-00401</t>
        </is>
      </c>
      <c r="B402" s="10" t="n">
        <v>46312</v>
      </c>
      <c r="C402" t="inlineStr">
        <is>
          <t>Oct</t>
        </is>
      </c>
      <c r="D402" t="inlineStr">
        <is>
          <t>North</t>
        </is>
      </c>
      <c r="E402" t="inlineStr">
        <is>
          <t>Retail</t>
        </is>
      </c>
      <c r="F402" t="inlineStr">
        <is>
          <t>Arc Side Table</t>
        </is>
      </c>
      <c r="G402" t="inlineStr">
        <is>
          <t>Living</t>
        </is>
      </c>
      <c r="H402" t="n">
        <v>6</v>
      </c>
      <c r="I402" s="11" t="n">
        <v>139</v>
      </c>
      <c r="J402" s="12" t="n">
        <v>0.1</v>
      </c>
      <c r="K402" s="11">
        <f>H402*I402*(1-J402)</f>
        <v/>
      </c>
      <c r="L402" s="11" t="n">
        <v>72</v>
      </c>
      <c r="M402" s="11">
        <f>K402-(H402*L402)</f>
        <v/>
      </c>
      <c r="N402" s="11">
        <f>H402*6</f>
        <v/>
      </c>
    </row>
    <row r="403">
      <c r="A403" t="inlineStr">
        <is>
          <t>LL-00402</t>
        </is>
      </c>
      <c r="B403" s="10" t="n">
        <v>46241</v>
      </c>
      <c r="C403" t="inlineStr">
        <is>
          <t>Aug</t>
        </is>
      </c>
      <c r="D403" t="inlineStr">
        <is>
          <t>South</t>
        </is>
      </c>
      <c r="E403" t="inlineStr">
        <is>
          <t>Retail</t>
        </is>
      </c>
      <c r="F403" t="inlineStr">
        <is>
          <t>Focus Monitor Stand</t>
        </is>
      </c>
      <c r="G403" t="inlineStr">
        <is>
          <t>Workspace</t>
        </is>
      </c>
      <c r="H403" t="n">
        <v>4</v>
      </c>
      <c r="I403" s="11" t="n">
        <v>79</v>
      </c>
      <c r="J403" s="12" t="n">
        <v>0</v>
      </c>
      <c r="K403" s="11">
        <f>H403*I403*(1-J403)</f>
        <v/>
      </c>
      <c r="L403" s="11" t="n">
        <v>36</v>
      </c>
      <c r="M403" s="11">
        <f>K403-(H403*L403)</f>
        <v/>
      </c>
      <c r="N403" s="11">
        <f>H403*6</f>
        <v/>
      </c>
    </row>
    <row r="404">
      <c r="A404" t="inlineStr">
        <is>
          <t>LL-00403</t>
        </is>
      </c>
      <c r="B404" s="10" t="n">
        <v>46281</v>
      </c>
      <c r="C404" t="inlineStr">
        <is>
          <t>Sep</t>
        </is>
      </c>
      <c r="D404" t="inlineStr">
        <is>
          <t>North</t>
        </is>
      </c>
      <c r="E404" t="inlineStr">
        <is>
          <t>Retail</t>
        </is>
      </c>
      <c r="F404" t="inlineStr">
        <is>
          <t>Aurora Desk Lamp</t>
        </is>
      </c>
      <c r="G404" t="inlineStr">
        <is>
          <t>Lighting</t>
        </is>
      </c>
      <c r="H404" t="n">
        <v>3</v>
      </c>
      <c r="I404" s="11" t="n">
        <v>89</v>
      </c>
      <c r="J404" s="12" t="n">
        <v>0.1</v>
      </c>
      <c r="K404" s="11">
        <f>H404*I404*(1-J404)</f>
        <v/>
      </c>
      <c r="L404" s="11" t="n">
        <v>42</v>
      </c>
      <c r="M404" s="11">
        <f>K404-(H404*L404)</f>
        <v/>
      </c>
      <c r="N404" s="11">
        <f>H404*6</f>
        <v/>
      </c>
    </row>
    <row r="405">
      <c r="A405" t="inlineStr">
        <is>
          <t>LL-00404</t>
        </is>
      </c>
      <c r="B405" s="10" t="n">
        <v>46346</v>
      </c>
      <c r="C405" t="inlineStr">
        <is>
          <t>Nov</t>
        </is>
      </c>
      <c r="D405" t="inlineStr">
        <is>
          <t>South</t>
        </is>
      </c>
      <c r="E405" t="inlineStr">
        <is>
          <t>Online</t>
        </is>
      </c>
      <c r="F405" t="inlineStr">
        <is>
          <t>Arc Side Table</t>
        </is>
      </c>
      <c r="G405" t="inlineStr">
        <is>
          <t>Living</t>
        </is>
      </c>
      <c r="H405" t="n">
        <v>2</v>
      </c>
      <c r="I405" s="11" t="n">
        <v>139</v>
      </c>
      <c r="J405" s="12" t="n">
        <v>0.15</v>
      </c>
      <c r="K405" s="11">
        <f>H405*I405*(1-J405)</f>
        <v/>
      </c>
      <c r="L405" s="11" t="n">
        <v>72</v>
      </c>
      <c r="M405" s="11">
        <f>K405-(H405*L405)</f>
        <v/>
      </c>
      <c r="N405" s="11">
        <f>H405*11</f>
        <v/>
      </c>
    </row>
    <row r="406">
      <c r="A406" t="inlineStr">
        <is>
          <t>LL-00405</t>
        </is>
      </c>
      <c r="B406" s="10" t="n">
        <v>46203</v>
      </c>
      <c r="C406" t="inlineStr">
        <is>
          <t>Jun</t>
        </is>
      </c>
      <c r="D406" t="inlineStr">
        <is>
          <t>South</t>
        </is>
      </c>
      <c r="E406" t="inlineStr">
        <is>
          <t>Retail</t>
        </is>
      </c>
      <c r="F406" t="inlineStr">
        <is>
          <t>Aurora Desk Lamp</t>
        </is>
      </c>
      <c r="G406" t="inlineStr">
        <is>
          <t>Lighting</t>
        </is>
      </c>
      <c r="H406" t="n">
        <v>7</v>
      </c>
      <c r="I406" s="11" t="n">
        <v>89</v>
      </c>
      <c r="J406" s="12" t="n">
        <v>0.2</v>
      </c>
      <c r="K406" s="11">
        <f>H406*I406*(1-J406)</f>
        <v/>
      </c>
      <c r="L406" s="11" t="n">
        <v>42</v>
      </c>
      <c r="M406" s="11">
        <f>K406-(H406*L406)</f>
        <v/>
      </c>
      <c r="N406" s="11">
        <f>H406*6</f>
        <v/>
      </c>
    </row>
    <row r="407">
      <c r="A407" t="inlineStr">
        <is>
          <t>LL-00406</t>
        </is>
      </c>
      <c r="B407" s="10" t="n">
        <v>46091</v>
      </c>
      <c r="C407" t="inlineStr">
        <is>
          <t>Mar</t>
        </is>
      </c>
      <c r="D407" t="inlineStr">
        <is>
          <t>East</t>
        </is>
      </c>
      <c r="E407" t="inlineStr">
        <is>
          <t>Online</t>
        </is>
      </c>
      <c r="F407" t="inlineStr">
        <is>
          <t>Aurora Desk Lamp</t>
        </is>
      </c>
      <c r="G407" t="inlineStr">
        <is>
          <t>Lighting</t>
        </is>
      </c>
      <c r="H407" t="n">
        <v>4</v>
      </c>
      <c r="I407" s="11" t="n">
        <v>89</v>
      </c>
      <c r="J407" s="12" t="n">
        <v>0.1</v>
      </c>
      <c r="K407" s="11">
        <f>H407*I407*(1-J407)</f>
        <v/>
      </c>
      <c r="L407" s="11" t="n">
        <v>42</v>
      </c>
      <c r="M407" s="11">
        <f>K407-(H407*L407)</f>
        <v/>
      </c>
      <c r="N407" s="11">
        <f>H407*11</f>
        <v/>
      </c>
    </row>
    <row r="408">
      <c r="A408" t="inlineStr">
        <is>
          <t>LL-00407</t>
        </is>
      </c>
      <c r="B408" s="10" t="n">
        <v>46039</v>
      </c>
      <c r="C408" t="inlineStr">
        <is>
          <t>Jan</t>
        </is>
      </c>
      <c r="D408" t="inlineStr">
        <is>
          <t>North</t>
        </is>
      </c>
      <c r="E408" t="inlineStr">
        <is>
          <t>Marketplace</t>
        </is>
      </c>
      <c r="F408" t="inlineStr">
        <is>
          <t>Halo Floor Lamp</t>
        </is>
      </c>
      <c r="G408" t="inlineStr">
        <is>
          <t>Lighting</t>
        </is>
      </c>
      <c r="H408" t="n">
        <v>3</v>
      </c>
      <c r="I408" s="11" t="n">
        <v>159</v>
      </c>
      <c r="J408" s="12" t="n">
        <v>0.05</v>
      </c>
      <c r="K408" s="11">
        <f>H408*I408*(1-J408)</f>
        <v/>
      </c>
      <c r="L408" s="11" t="n">
        <v>79</v>
      </c>
      <c r="M408" s="11">
        <f>K408-(H408*L408)</f>
        <v/>
      </c>
      <c r="N408" s="11">
        <f>H408*15</f>
        <v/>
      </c>
    </row>
    <row r="409">
      <c r="A409" t="inlineStr">
        <is>
          <t>LL-00408</t>
        </is>
      </c>
      <c r="B409" s="10" t="n">
        <v>46152</v>
      </c>
      <c r="C409" t="inlineStr">
        <is>
          <t>May</t>
        </is>
      </c>
      <c r="D409" t="inlineStr">
        <is>
          <t>North</t>
        </is>
      </c>
      <c r="E409" t="inlineStr">
        <is>
          <t>Retail</t>
        </is>
      </c>
      <c r="F409" t="inlineStr">
        <is>
          <t>Focus Monitor Stand</t>
        </is>
      </c>
      <c r="G409" t="inlineStr">
        <is>
          <t>Workspace</t>
        </is>
      </c>
      <c r="H409" t="n">
        <v>6</v>
      </c>
      <c r="I409" s="11" t="n">
        <v>79</v>
      </c>
      <c r="J409" s="12" t="n">
        <v>0.15</v>
      </c>
      <c r="K409" s="11">
        <f>H409*I409*(1-J409)</f>
        <v/>
      </c>
      <c r="L409" s="11" t="n">
        <v>36</v>
      </c>
      <c r="M409" s="11">
        <f>K409-(H409*L409)</f>
        <v/>
      </c>
      <c r="N409" s="11">
        <f>H409*6</f>
        <v/>
      </c>
    </row>
    <row r="410">
      <c r="A410" t="inlineStr">
        <is>
          <t>LL-00409</t>
        </is>
      </c>
      <c r="B410" s="10" t="n">
        <v>46307</v>
      </c>
      <c r="C410" t="inlineStr">
        <is>
          <t>Oct</t>
        </is>
      </c>
      <c r="D410" t="inlineStr">
        <is>
          <t>South</t>
        </is>
      </c>
      <c r="E410" t="inlineStr">
        <is>
          <t>Retail</t>
        </is>
      </c>
      <c r="F410" t="inlineStr">
        <is>
          <t>Aurora Desk Lamp</t>
        </is>
      </c>
      <c r="G410" t="inlineStr">
        <is>
          <t>Lighting</t>
        </is>
      </c>
      <c r="H410" t="n">
        <v>3</v>
      </c>
      <c r="I410" s="11" t="n">
        <v>89</v>
      </c>
      <c r="J410" s="12" t="n">
        <v>0.05</v>
      </c>
      <c r="K410" s="11">
        <f>H410*I410*(1-J410)</f>
        <v/>
      </c>
      <c r="L410" s="11" t="n">
        <v>42</v>
      </c>
      <c r="M410" s="11">
        <f>K410-(H410*L410)</f>
        <v/>
      </c>
      <c r="N410" s="11">
        <f>H410*6</f>
        <v/>
      </c>
    </row>
    <row r="411">
      <c r="A411" t="inlineStr">
        <is>
          <t>LL-00410</t>
        </is>
      </c>
      <c r="B411" s="10" t="n">
        <v>46267</v>
      </c>
      <c r="C411" t="inlineStr">
        <is>
          <t>Sep</t>
        </is>
      </c>
      <c r="D411" t="inlineStr">
        <is>
          <t>West</t>
        </is>
      </c>
      <c r="E411" t="inlineStr">
        <is>
          <t>Online</t>
        </is>
      </c>
      <c r="F411" t="inlineStr">
        <is>
          <t>Aurora Desk Lamp</t>
        </is>
      </c>
      <c r="G411" t="inlineStr">
        <is>
          <t>Lighting</t>
        </is>
      </c>
      <c r="H411" t="n">
        <v>2</v>
      </c>
      <c r="I411" s="11" t="n">
        <v>89</v>
      </c>
      <c r="J411" s="12" t="n">
        <v>0.15</v>
      </c>
      <c r="K411" s="11">
        <f>H411*I411*(1-J411)</f>
        <v/>
      </c>
      <c r="L411" s="11" t="n">
        <v>42</v>
      </c>
      <c r="M411" s="11">
        <f>K411-(H411*L411)</f>
        <v/>
      </c>
      <c r="N411" s="11">
        <f>H411*11</f>
        <v/>
      </c>
    </row>
    <row r="412">
      <c r="A412" t="inlineStr">
        <is>
          <t>LL-00411</t>
        </is>
      </c>
      <c r="B412" s="10" t="n">
        <v>46050</v>
      </c>
      <c r="C412" t="inlineStr">
        <is>
          <t>Jan</t>
        </is>
      </c>
      <c r="D412" t="inlineStr">
        <is>
          <t>North</t>
        </is>
      </c>
      <c r="E412" t="inlineStr">
        <is>
          <t>Online</t>
        </is>
      </c>
      <c r="F412" t="inlineStr">
        <is>
          <t>Aurora Desk Lamp</t>
        </is>
      </c>
      <c r="G412" t="inlineStr">
        <is>
          <t>Lighting</t>
        </is>
      </c>
      <c r="H412" t="n">
        <v>8</v>
      </c>
      <c r="I412" s="11" t="n">
        <v>89</v>
      </c>
      <c r="J412" s="12" t="n">
        <v>0.15</v>
      </c>
      <c r="K412" s="11">
        <f>H412*I412*(1-J412)</f>
        <v/>
      </c>
      <c r="L412" s="11" t="n">
        <v>42</v>
      </c>
      <c r="M412" s="11">
        <f>K412-(H412*L412)</f>
        <v/>
      </c>
      <c r="N412" s="11">
        <f>H412*11</f>
        <v/>
      </c>
    </row>
    <row r="413">
      <c r="A413" t="inlineStr">
        <is>
          <t>LL-00412</t>
        </is>
      </c>
      <c r="B413" s="10" t="n">
        <v>46287</v>
      </c>
      <c r="C413" t="inlineStr">
        <is>
          <t>Sep</t>
        </is>
      </c>
      <c r="D413" t="inlineStr">
        <is>
          <t>East</t>
        </is>
      </c>
      <c r="E413" t="inlineStr">
        <is>
          <t>Retail</t>
        </is>
      </c>
      <c r="F413" t="inlineStr">
        <is>
          <t>Halo Floor Lamp</t>
        </is>
      </c>
      <c r="G413" t="inlineStr">
        <is>
          <t>Lighting</t>
        </is>
      </c>
      <c r="H413" t="n">
        <v>7</v>
      </c>
      <c r="I413" s="11" t="n">
        <v>159</v>
      </c>
      <c r="J413" s="12" t="n">
        <v>0</v>
      </c>
      <c r="K413" s="11">
        <f>H413*I413*(1-J413)</f>
        <v/>
      </c>
      <c r="L413" s="11" t="n">
        <v>79</v>
      </c>
      <c r="M413" s="11">
        <f>K413-(H413*L413)</f>
        <v/>
      </c>
      <c r="N413" s="11">
        <f>H413*6</f>
        <v/>
      </c>
    </row>
    <row r="414">
      <c r="A414" t="inlineStr">
        <is>
          <t>LL-00413</t>
        </is>
      </c>
      <c r="B414" s="10" t="n">
        <v>46214</v>
      </c>
      <c r="C414" t="inlineStr">
        <is>
          <t>Jul</t>
        </is>
      </c>
      <c r="D414" t="inlineStr">
        <is>
          <t>West</t>
        </is>
      </c>
      <c r="E414" t="inlineStr">
        <is>
          <t>Online</t>
        </is>
      </c>
      <c r="F414" t="inlineStr">
        <is>
          <t>Luna Throw</t>
        </is>
      </c>
      <c r="G414" t="inlineStr">
        <is>
          <t>Living</t>
        </is>
      </c>
      <c r="H414" t="n">
        <v>5</v>
      </c>
      <c r="I414" s="11" t="n">
        <v>69</v>
      </c>
      <c r="J414" s="12" t="n">
        <v>0</v>
      </c>
      <c r="K414" s="11">
        <f>H414*I414*(1-J414)</f>
        <v/>
      </c>
      <c r="L414" s="11" t="n">
        <v>31</v>
      </c>
      <c r="M414" s="11">
        <f>K414-(H414*L414)</f>
        <v/>
      </c>
      <c r="N414" s="11">
        <f>H414*11</f>
        <v/>
      </c>
    </row>
    <row r="415">
      <c r="A415" t="inlineStr">
        <is>
          <t>LL-00414</t>
        </is>
      </c>
      <c r="B415" s="10" t="n">
        <v>46223</v>
      </c>
      <c r="C415" t="inlineStr">
        <is>
          <t>Jul</t>
        </is>
      </c>
      <c r="D415" t="inlineStr">
        <is>
          <t>East</t>
        </is>
      </c>
      <c r="E415" t="inlineStr">
        <is>
          <t>Online</t>
        </is>
      </c>
      <c r="F415" t="inlineStr">
        <is>
          <t>Halo Floor Lamp</t>
        </is>
      </c>
      <c r="G415" t="inlineStr">
        <is>
          <t>Lighting</t>
        </is>
      </c>
      <c r="H415" t="n">
        <v>1</v>
      </c>
      <c r="I415" s="11" t="n">
        <v>159</v>
      </c>
      <c r="J415" s="12" t="n">
        <v>0.05</v>
      </c>
      <c r="K415" s="11">
        <f>H415*I415*(1-J415)</f>
        <v/>
      </c>
      <c r="L415" s="11" t="n">
        <v>79</v>
      </c>
      <c r="M415" s="11">
        <f>K415-(H415*L415)</f>
        <v/>
      </c>
      <c r="N415" s="11">
        <f>H415*11</f>
        <v/>
      </c>
    </row>
    <row r="416">
      <c r="A416" t="inlineStr">
        <is>
          <t>LL-00415</t>
        </is>
      </c>
      <c r="B416" s="10" t="n">
        <v>46185</v>
      </c>
      <c r="C416" t="inlineStr">
        <is>
          <t>Jun</t>
        </is>
      </c>
      <c r="D416" t="inlineStr">
        <is>
          <t>South</t>
        </is>
      </c>
      <c r="E416" t="inlineStr">
        <is>
          <t>Retail</t>
        </is>
      </c>
      <c r="F416" t="inlineStr">
        <is>
          <t>Focus Monitor Stand</t>
        </is>
      </c>
      <c r="G416" t="inlineStr">
        <is>
          <t>Workspace</t>
        </is>
      </c>
      <c r="H416" t="n">
        <v>8</v>
      </c>
      <c r="I416" s="11" t="n">
        <v>79</v>
      </c>
      <c r="J416" s="12" t="n">
        <v>0.15</v>
      </c>
      <c r="K416" s="11">
        <f>H416*I416*(1-J416)</f>
        <v/>
      </c>
      <c r="L416" s="11" t="n">
        <v>36</v>
      </c>
      <c r="M416" s="11">
        <f>K416-(H416*L416)</f>
        <v/>
      </c>
      <c r="N416" s="11">
        <f>H416*6</f>
        <v/>
      </c>
    </row>
    <row r="417">
      <c r="A417" t="inlineStr">
        <is>
          <t>LL-00416</t>
        </is>
      </c>
      <c r="B417" s="10" t="n">
        <v>46299</v>
      </c>
      <c r="C417" t="inlineStr">
        <is>
          <t>Oct</t>
        </is>
      </c>
      <c r="D417" t="inlineStr">
        <is>
          <t>North</t>
        </is>
      </c>
      <c r="E417" t="inlineStr">
        <is>
          <t>Retail</t>
        </is>
      </c>
      <c r="F417" t="inlineStr">
        <is>
          <t>Luna Throw</t>
        </is>
      </c>
      <c r="G417" t="inlineStr">
        <is>
          <t>Living</t>
        </is>
      </c>
      <c r="H417" t="n">
        <v>7</v>
      </c>
      <c r="I417" s="11" t="n">
        <v>69</v>
      </c>
      <c r="J417" s="12" t="n">
        <v>0.1</v>
      </c>
      <c r="K417" s="11">
        <f>H417*I417*(1-J417)</f>
        <v/>
      </c>
      <c r="L417" s="11" t="n">
        <v>31</v>
      </c>
      <c r="M417" s="11">
        <f>K417-(H417*L417)</f>
        <v/>
      </c>
      <c r="N417" s="11">
        <f>H417*6</f>
        <v/>
      </c>
    </row>
    <row r="418">
      <c r="A418" t="inlineStr">
        <is>
          <t>LL-00417</t>
        </is>
      </c>
      <c r="B418" s="10" t="n">
        <v>46307</v>
      </c>
      <c r="C418" t="inlineStr">
        <is>
          <t>Oct</t>
        </is>
      </c>
      <c r="D418" t="inlineStr">
        <is>
          <t>North</t>
        </is>
      </c>
      <c r="E418" t="inlineStr">
        <is>
          <t>Online</t>
        </is>
      </c>
      <c r="F418" t="inlineStr">
        <is>
          <t>Nest Basket</t>
        </is>
      </c>
      <c r="G418" t="inlineStr">
        <is>
          <t>Living</t>
        </is>
      </c>
      <c r="H418" t="n">
        <v>4</v>
      </c>
      <c r="I418" s="11" t="n">
        <v>55</v>
      </c>
      <c r="J418" s="12" t="n">
        <v>0.1</v>
      </c>
      <c r="K418" s="11">
        <f>H418*I418*(1-J418)</f>
        <v/>
      </c>
      <c r="L418" s="11" t="n">
        <v>24</v>
      </c>
      <c r="M418" s="11">
        <f>K418-(H418*L418)</f>
        <v/>
      </c>
      <c r="N418" s="11">
        <f>H418*11</f>
        <v/>
      </c>
    </row>
    <row r="419">
      <c r="A419" t="inlineStr">
        <is>
          <t>LL-00418</t>
        </is>
      </c>
      <c r="B419" s="10" t="n">
        <v>46104</v>
      </c>
      <c r="C419" t="inlineStr">
        <is>
          <t>Mar</t>
        </is>
      </c>
      <c r="D419" t="inlineStr">
        <is>
          <t>North</t>
        </is>
      </c>
      <c r="E419" t="inlineStr">
        <is>
          <t>Retail</t>
        </is>
      </c>
      <c r="F419" t="inlineStr">
        <is>
          <t>Focus Monitor Stand</t>
        </is>
      </c>
      <c r="G419" t="inlineStr">
        <is>
          <t>Workspace</t>
        </is>
      </c>
      <c r="H419" t="n">
        <v>2</v>
      </c>
      <c r="I419" s="11" t="n">
        <v>79</v>
      </c>
      <c r="J419" s="12" t="n">
        <v>0.05</v>
      </c>
      <c r="K419" s="11">
        <f>H419*I419*(1-J419)</f>
        <v/>
      </c>
      <c r="L419" s="11" t="n">
        <v>36</v>
      </c>
      <c r="M419" s="11">
        <f>K419-(H419*L419)</f>
        <v/>
      </c>
      <c r="N419" s="11">
        <f>H419*6</f>
        <v/>
      </c>
    </row>
    <row r="420">
      <c r="A420" t="inlineStr">
        <is>
          <t>LL-00419</t>
        </is>
      </c>
      <c r="B420" s="10" t="n">
        <v>46097</v>
      </c>
      <c r="C420" t="inlineStr">
        <is>
          <t>Mar</t>
        </is>
      </c>
      <c r="D420" t="inlineStr">
        <is>
          <t>West</t>
        </is>
      </c>
      <c r="E420" t="inlineStr">
        <is>
          <t>Online</t>
        </is>
      </c>
      <c r="F420" t="inlineStr">
        <is>
          <t>Aurora Desk Lamp</t>
        </is>
      </c>
      <c r="G420" t="inlineStr">
        <is>
          <t>Lighting</t>
        </is>
      </c>
      <c r="H420" t="n">
        <v>2</v>
      </c>
      <c r="I420" s="11" t="n">
        <v>89</v>
      </c>
      <c r="J420" s="12" t="n">
        <v>0.1</v>
      </c>
      <c r="K420" s="11">
        <f>H420*I420*(1-J420)</f>
        <v/>
      </c>
      <c r="L420" s="11" t="n">
        <v>42</v>
      </c>
      <c r="M420" s="11">
        <f>K420-(H420*L420)</f>
        <v/>
      </c>
      <c r="N420" s="11">
        <f>H420*11</f>
        <v/>
      </c>
    </row>
    <row r="421">
      <c r="A421" t="inlineStr">
        <is>
          <t>LL-00420</t>
        </is>
      </c>
      <c r="B421" s="10" t="n">
        <v>46081</v>
      </c>
      <c r="C421" t="inlineStr">
        <is>
          <t>Feb</t>
        </is>
      </c>
      <c r="D421" t="inlineStr">
        <is>
          <t>South</t>
        </is>
      </c>
      <c r="E421" t="inlineStr">
        <is>
          <t>Online</t>
        </is>
      </c>
      <c r="F421" t="inlineStr">
        <is>
          <t>Halo Floor Lamp</t>
        </is>
      </c>
      <c r="G421" t="inlineStr">
        <is>
          <t>Lighting</t>
        </is>
      </c>
      <c r="H421" t="n">
        <v>7</v>
      </c>
      <c r="I421" s="11" t="n">
        <v>159</v>
      </c>
      <c r="J421" s="12" t="n">
        <v>0.2</v>
      </c>
      <c r="K421" s="11">
        <f>H421*I421*(1-J421)</f>
        <v/>
      </c>
      <c r="L421" s="11" t="n">
        <v>79</v>
      </c>
      <c r="M421" s="11">
        <f>K421-(H421*L421)</f>
        <v/>
      </c>
      <c r="N421" s="11">
        <f>H421*11</f>
        <v/>
      </c>
    </row>
    <row r="422">
      <c r="A422" t="inlineStr">
        <is>
          <t>LL-00421</t>
        </is>
      </c>
      <c r="B422" s="10" t="n">
        <v>46035</v>
      </c>
      <c r="C422" t="inlineStr">
        <is>
          <t>Jan</t>
        </is>
      </c>
      <c r="D422" t="inlineStr">
        <is>
          <t>North</t>
        </is>
      </c>
      <c r="E422" t="inlineStr">
        <is>
          <t>Retail</t>
        </is>
      </c>
      <c r="F422" t="inlineStr">
        <is>
          <t>Focus Monitor Stand</t>
        </is>
      </c>
      <c r="G422" t="inlineStr">
        <is>
          <t>Workspace</t>
        </is>
      </c>
      <c r="H422" t="n">
        <v>5</v>
      </c>
      <c r="I422" s="11" t="n">
        <v>79</v>
      </c>
      <c r="J422" s="12" t="n">
        <v>0.1</v>
      </c>
      <c r="K422" s="11">
        <f>H422*I422*(1-J422)</f>
        <v/>
      </c>
      <c r="L422" s="11" t="n">
        <v>36</v>
      </c>
      <c r="M422" s="11">
        <f>K422-(H422*L422)</f>
        <v/>
      </c>
      <c r="N422" s="11">
        <f>H422*6</f>
        <v/>
      </c>
    </row>
    <row r="423">
      <c r="A423" t="inlineStr">
        <is>
          <t>LL-00422</t>
        </is>
      </c>
      <c r="B423" s="10" t="n">
        <v>46383</v>
      </c>
      <c r="C423" t="inlineStr">
        <is>
          <t>Dec</t>
        </is>
      </c>
      <c r="D423" t="inlineStr">
        <is>
          <t>South</t>
        </is>
      </c>
      <c r="E423" t="inlineStr">
        <is>
          <t>Retail</t>
        </is>
      </c>
      <c r="F423" t="inlineStr">
        <is>
          <t>Focus Monitor Stand</t>
        </is>
      </c>
      <c r="G423" t="inlineStr">
        <is>
          <t>Workspace</t>
        </is>
      </c>
      <c r="H423" t="n">
        <v>6</v>
      </c>
      <c r="I423" s="11" t="n">
        <v>79</v>
      </c>
      <c r="J423" s="12" t="n">
        <v>0.1</v>
      </c>
      <c r="K423" s="11">
        <f>H423*I423*(1-J423)</f>
        <v/>
      </c>
      <c r="L423" s="11" t="n">
        <v>36</v>
      </c>
      <c r="M423" s="11">
        <f>K423-(H423*L423)</f>
        <v/>
      </c>
      <c r="N423" s="11">
        <f>H423*6</f>
        <v/>
      </c>
    </row>
    <row r="424">
      <c r="A424" t="inlineStr">
        <is>
          <t>LL-00423</t>
        </is>
      </c>
      <c r="B424" s="10" t="n">
        <v>46288</v>
      </c>
      <c r="C424" t="inlineStr">
        <is>
          <t>Sep</t>
        </is>
      </c>
      <c r="D424" t="inlineStr">
        <is>
          <t>North</t>
        </is>
      </c>
      <c r="E424" t="inlineStr">
        <is>
          <t>Online</t>
        </is>
      </c>
      <c r="F424" t="inlineStr">
        <is>
          <t>Halo Floor Lamp</t>
        </is>
      </c>
      <c r="G424" t="inlineStr">
        <is>
          <t>Lighting</t>
        </is>
      </c>
      <c r="H424" t="n">
        <v>4</v>
      </c>
      <c r="I424" s="11" t="n">
        <v>159</v>
      </c>
      <c r="J424" s="12" t="n">
        <v>0.1</v>
      </c>
      <c r="K424" s="11">
        <f>H424*I424*(1-J424)</f>
        <v/>
      </c>
      <c r="L424" s="11" t="n">
        <v>79</v>
      </c>
      <c r="M424" s="11">
        <f>K424-(H424*L424)</f>
        <v/>
      </c>
      <c r="N424" s="11">
        <f>H424*11</f>
        <v/>
      </c>
    </row>
    <row r="425">
      <c r="A425" t="inlineStr">
        <is>
          <t>LL-00424</t>
        </is>
      </c>
      <c r="B425" s="10" t="n">
        <v>46051</v>
      </c>
      <c r="C425" t="inlineStr">
        <is>
          <t>Jan</t>
        </is>
      </c>
      <c r="D425" t="inlineStr">
        <is>
          <t>East</t>
        </is>
      </c>
      <c r="E425" t="inlineStr">
        <is>
          <t>Retail</t>
        </is>
      </c>
      <c r="F425" t="inlineStr">
        <is>
          <t>Nest Basket</t>
        </is>
      </c>
      <c r="G425" t="inlineStr">
        <is>
          <t>Living</t>
        </is>
      </c>
      <c r="H425" t="n">
        <v>6</v>
      </c>
      <c r="I425" s="11" t="n">
        <v>55</v>
      </c>
      <c r="J425" s="12" t="n">
        <v>0.1</v>
      </c>
      <c r="K425" s="11">
        <f>H425*I425*(1-J425)</f>
        <v/>
      </c>
      <c r="L425" s="11" t="n">
        <v>24</v>
      </c>
      <c r="M425" s="11">
        <f>K425-(H425*L425)</f>
        <v/>
      </c>
      <c r="N425" s="11">
        <f>H425*6</f>
        <v/>
      </c>
    </row>
    <row r="426">
      <c r="A426" t="inlineStr">
        <is>
          <t>LL-00425</t>
        </is>
      </c>
      <c r="B426" s="10" t="n">
        <v>46290</v>
      </c>
      <c r="C426" t="inlineStr">
        <is>
          <t>Sep</t>
        </is>
      </c>
      <c r="D426" t="inlineStr">
        <is>
          <t>East</t>
        </is>
      </c>
      <c r="E426" t="inlineStr">
        <is>
          <t>Retail</t>
        </is>
      </c>
      <c r="F426" t="inlineStr">
        <is>
          <t>Aurora Desk Lamp</t>
        </is>
      </c>
      <c r="G426" t="inlineStr">
        <is>
          <t>Lighting</t>
        </is>
      </c>
      <c r="H426" t="n">
        <v>6</v>
      </c>
      <c r="I426" s="11" t="n">
        <v>89</v>
      </c>
      <c r="J426" s="12" t="n">
        <v>0</v>
      </c>
      <c r="K426" s="11">
        <f>H426*I426*(1-J426)</f>
        <v/>
      </c>
      <c r="L426" s="11" t="n">
        <v>42</v>
      </c>
      <c r="M426" s="11">
        <f>K426-(H426*L426)</f>
        <v/>
      </c>
      <c r="N426" s="11">
        <f>H426*6</f>
        <v/>
      </c>
    </row>
    <row r="427">
      <c r="A427" t="inlineStr">
        <is>
          <t>LL-00426</t>
        </is>
      </c>
      <c r="B427" s="10" t="n">
        <v>46273</v>
      </c>
      <c r="C427" t="inlineStr">
        <is>
          <t>Sep</t>
        </is>
      </c>
      <c r="D427" t="inlineStr">
        <is>
          <t>North</t>
        </is>
      </c>
      <c r="E427" t="inlineStr">
        <is>
          <t>Online</t>
        </is>
      </c>
      <c r="F427" t="inlineStr">
        <is>
          <t>Aurora Desk Lamp</t>
        </is>
      </c>
      <c r="G427" t="inlineStr">
        <is>
          <t>Lighting</t>
        </is>
      </c>
      <c r="H427" t="n">
        <v>7</v>
      </c>
      <c r="I427" s="11" t="n">
        <v>89</v>
      </c>
      <c r="J427" s="12" t="n">
        <v>0.05</v>
      </c>
      <c r="K427" s="11">
        <f>H427*I427*(1-J427)</f>
        <v/>
      </c>
      <c r="L427" s="11" t="n">
        <v>42</v>
      </c>
      <c r="M427" s="11">
        <f>K427-(H427*L427)</f>
        <v/>
      </c>
      <c r="N427" s="11">
        <f>H427*11</f>
        <v/>
      </c>
    </row>
    <row r="428">
      <c r="A428" t="inlineStr">
        <is>
          <t>LL-00427</t>
        </is>
      </c>
      <c r="B428" s="10" t="n">
        <v>46063</v>
      </c>
      <c r="C428" t="inlineStr">
        <is>
          <t>Feb</t>
        </is>
      </c>
      <c r="D428" t="inlineStr">
        <is>
          <t>East</t>
        </is>
      </c>
      <c r="E428" t="inlineStr">
        <is>
          <t>Online</t>
        </is>
      </c>
      <c r="F428" t="inlineStr">
        <is>
          <t>Nest Basket</t>
        </is>
      </c>
      <c r="G428" t="inlineStr">
        <is>
          <t>Living</t>
        </is>
      </c>
      <c r="H428" t="n">
        <v>7</v>
      </c>
      <c r="I428" s="11" t="n">
        <v>55</v>
      </c>
      <c r="J428" s="12" t="n">
        <v>0</v>
      </c>
      <c r="K428" s="11">
        <f>H428*I428*(1-J428)</f>
        <v/>
      </c>
      <c r="L428" s="11" t="n">
        <v>24</v>
      </c>
      <c r="M428" s="11">
        <f>K428-(H428*L428)</f>
        <v/>
      </c>
      <c r="N428" s="11">
        <f>H428*11</f>
        <v/>
      </c>
    </row>
    <row r="429">
      <c r="A429" t="inlineStr">
        <is>
          <t>LL-00428</t>
        </is>
      </c>
      <c r="B429" s="10" t="n">
        <v>46358</v>
      </c>
      <c r="C429" t="inlineStr">
        <is>
          <t>Dec</t>
        </is>
      </c>
      <c r="D429" t="inlineStr">
        <is>
          <t>North</t>
        </is>
      </c>
      <c r="E429" t="inlineStr">
        <is>
          <t>Online</t>
        </is>
      </c>
      <c r="F429" t="inlineStr">
        <is>
          <t>Aurora Desk Lamp</t>
        </is>
      </c>
      <c r="G429" t="inlineStr">
        <is>
          <t>Lighting</t>
        </is>
      </c>
      <c r="H429" t="n">
        <v>5</v>
      </c>
      <c r="I429" s="11" t="n">
        <v>89</v>
      </c>
      <c r="J429" s="12" t="n">
        <v>0.15</v>
      </c>
      <c r="K429" s="11">
        <f>H429*I429*(1-J429)</f>
        <v/>
      </c>
      <c r="L429" s="11" t="n">
        <v>42</v>
      </c>
      <c r="M429" s="11">
        <f>K429-(H429*L429)</f>
        <v/>
      </c>
      <c r="N429" s="11">
        <f>H429*11</f>
        <v/>
      </c>
    </row>
    <row r="430">
      <c r="A430" t="inlineStr">
        <is>
          <t>LL-00429</t>
        </is>
      </c>
      <c r="B430" s="10" t="n">
        <v>46058</v>
      </c>
      <c r="C430" t="inlineStr">
        <is>
          <t>Feb</t>
        </is>
      </c>
      <c r="D430" t="inlineStr">
        <is>
          <t>South</t>
        </is>
      </c>
      <c r="E430" t="inlineStr">
        <is>
          <t>Retail</t>
        </is>
      </c>
      <c r="F430" t="inlineStr">
        <is>
          <t>Aurora Desk Lamp</t>
        </is>
      </c>
      <c r="G430" t="inlineStr">
        <is>
          <t>Lighting</t>
        </is>
      </c>
      <c r="H430" t="n">
        <v>6</v>
      </c>
      <c r="I430" s="11" t="n">
        <v>89</v>
      </c>
      <c r="J430" s="12" t="n">
        <v>0.2</v>
      </c>
      <c r="K430" s="11">
        <f>H430*I430*(1-J430)</f>
        <v/>
      </c>
      <c r="L430" s="11" t="n">
        <v>42</v>
      </c>
      <c r="M430" s="11">
        <f>K430-(H430*L430)</f>
        <v/>
      </c>
      <c r="N430" s="11">
        <f>H430*6</f>
        <v/>
      </c>
    </row>
    <row r="431">
      <c r="A431" t="inlineStr">
        <is>
          <t>LL-00430</t>
        </is>
      </c>
      <c r="B431" s="10" t="n">
        <v>46123</v>
      </c>
      <c r="C431" t="inlineStr">
        <is>
          <t>Apr</t>
        </is>
      </c>
      <c r="D431" t="inlineStr">
        <is>
          <t>East</t>
        </is>
      </c>
      <c r="E431" t="inlineStr">
        <is>
          <t>Marketplace</t>
        </is>
      </c>
      <c r="F431" t="inlineStr">
        <is>
          <t>Luna Throw</t>
        </is>
      </c>
      <c r="G431" t="inlineStr">
        <is>
          <t>Living</t>
        </is>
      </c>
      <c r="H431" t="n">
        <v>7</v>
      </c>
      <c r="I431" s="11" t="n">
        <v>69</v>
      </c>
      <c r="J431" s="12" t="n">
        <v>0.15</v>
      </c>
      <c r="K431" s="11">
        <f>H431*I431*(1-J431)</f>
        <v/>
      </c>
      <c r="L431" s="11" t="n">
        <v>31</v>
      </c>
      <c r="M431" s="11">
        <f>K431-(H431*L431)</f>
        <v/>
      </c>
      <c r="N431" s="11">
        <f>H431*15</f>
        <v/>
      </c>
    </row>
    <row r="432">
      <c r="A432" t="inlineStr">
        <is>
          <t>LL-00431</t>
        </is>
      </c>
      <c r="B432" s="10" t="n">
        <v>46252</v>
      </c>
      <c r="C432" t="inlineStr">
        <is>
          <t>Aug</t>
        </is>
      </c>
      <c r="D432" t="inlineStr">
        <is>
          <t>East</t>
        </is>
      </c>
      <c r="E432" t="inlineStr">
        <is>
          <t>Retail</t>
        </is>
      </c>
      <c r="F432" t="inlineStr">
        <is>
          <t>Luna Throw</t>
        </is>
      </c>
      <c r="G432" t="inlineStr">
        <is>
          <t>Living</t>
        </is>
      </c>
      <c r="H432" t="n">
        <v>7</v>
      </c>
      <c r="I432" s="11" t="n">
        <v>69</v>
      </c>
      <c r="J432" s="12" t="n">
        <v>0.15</v>
      </c>
      <c r="K432" s="11">
        <f>H432*I432*(1-J432)</f>
        <v/>
      </c>
      <c r="L432" s="11" t="n">
        <v>31</v>
      </c>
      <c r="M432" s="11">
        <f>K432-(H432*L432)</f>
        <v/>
      </c>
      <c r="N432" s="11">
        <f>H432*6</f>
        <v/>
      </c>
    </row>
    <row r="433">
      <c r="A433" t="inlineStr">
        <is>
          <t>LL-00432</t>
        </is>
      </c>
      <c r="B433" s="10" t="n">
        <v>46155</v>
      </c>
      <c r="C433" t="inlineStr">
        <is>
          <t>May</t>
        </is>
      </c>
      <c r="D433" t="inlineStr">
        <is>
          <t>South</t>
        </is>
      </c>
      <c r="E433" t="inlineStr">
        <is>
          <t>Retail</t>
        </is>
      </c>
      <c r="F433" t="inlineStr">
        <is>
          <t>Arc Side Table</t>
        </is>
      </c>
      <c r="G433" t="inlineStr">
        <is>
          <t>Living</t>
        </is>
      </c>
      <c r="H433" t="n">
        <v>7</v>
      </c>
      <c r="I433" s="11" t="n">
        <v>139</v>
      </c>
      <c r="J433" s="12" t="n">
        <v>0.1</v>
      </c>
      <c r="K433" s="11">
        <f>H433*I433*(1-J433)</f>
        <v/>
      </c>
      <c r="L433" s="11" t="n">
        <v>72</v>
      </c>
      <c r="M433" s="11">
        <f>K433-(H433*L433)</f>
        <v/>
      </c>
      <c r="N433" s="11">
        <f>H433*6</f>
        <v/>
      </c>
    </row>
    <row r="434">
      <c r="A434" t="inlineStr">
        <is>
          <t>LL-00433</t>
        </is>
      </c>
      <c r="B434" s="10" t="n">
        <v>46148</v>
      </c>
      <c r="C434" t="inlineStr">
        <is>
          <t>May</t>
        </is>
      </c>
      <c r="D434" t="inlineStr">
        <is>
          <t>North</t>
        </is>
      </c>
      <c r="E434" t="inlineStr">
        <is>
          <t>Retail</t>
        </is>
      </c>
      <c r="F434" t="inlineStr">
        <is>
          <t>Aurora Desk Lamp</t>
        </is>
      </c>
      <c r="G434" t="inlineStr">
        <is>
          <t>Lighting</t>
        </is>
      </c>
      <c r="H434" t="n">
        <v>3</v>
      </c>
      <c r="I434" s="11" t="n">
        <v>89</v>
      </c>
      <c r="J434" s="12" t="n">
        <v>0.05</v>
      </c>
      <c r="K434" s="11">
        <f>H434*I434*(1-J434)</f>
        <v/>
      </c>
      <c r="L434" s="11" t="n">
        <v>42</v>
      </c>
      <c r="M434" s="11">
        <f>K434-(H434*L434)</f>
        <v/>
      </c>
      <c r="N434" s="11">
        <f>H434*6</f>
        <v/>
      </c>
    </row>
    <row r="435">
      <c r="A435" t="inlineStr">
        <is>
          <t>LL-00434</t>
        </is>
      </c>
      <c r="B435" s="10" t="n">
        <v>46062</v>
      </c>
      <c r="C435" t="inlineStr">
        <is>
          <t>Feb</t>
        </is>
      </c>
      <c r="D435" t="inlineStr">
        <is>
          <t>West</t>
        </is>
      </c>
      <c r="E435" t="inlineStr">
        <is>
          <t>Retail</t>
        </is>
      </c>
      <c r="F435" t="inlineStr">
        <is>
          <t>Arc Side Table</t>
        </is>
      </c>
      <c r="G435" t="inlineStr">
        <is>
          <t>Living</t>
        </is>
      </c>
      <c r="H435" t="n">
        <v>4</v>
      </c>
      <c r="I435" s="11" t="n">
        <v>139</v>
      </c>
      <c r="J435" s="12" t="n">
        <v>0.1</v>
      </c>
      <c r="K435" s="11">
        <f>H435*I435*(1-J435)</f>
        <v/>
      </c>
      <c r="L435" s="11" t="n">
        <v>72</v>
      </c>
      <c r="M435" s="11">
        <f>K435-(H435*L435)</f>
        <v/>
      </c>
      <c r="N435" s="11">
        <f>H435*6</f>
        <v/>
      </c>
    </row>
    <row r="436">
      <c r="A436" t="inlineStr">
        <is>
          <t>LL-00435</t>
        </is>
      </c>
      <c r="B436" s="10" t="n">
        <v>46330</v>
      </c>
      <c r="C436" t="inlineStr">
        <is>
          <t>Nov</t>
        </is>
      </c>
      <c r="D436" t="inlineStr">
        <is>
          <t>East</t>
        </is>
      </c>
      <c r="E436" t="inlineStr">
        <is>
          <t>Online</t>
        </is>
      </c>
      <c r="F436" t="inlineStr">
        <is>
          <t>Nest Basket</t>
        </is>
      </c>
      <c r="G436" t="inlineStr">
        <is>
          <t>Living</t>
        </is>
      </c>
      <c r="H436" t="n">
        <v>5</v>
      </c>
      <c r="I436" s="11" t="n">
        <v>55</v>
      </c>
      <c r="J436" s="12" t="n">
        <v>0.1</v>
      </c>
      <c r="K436" s="11">
        <f>H436*I436*(1-J436)</f>
        <v/>
      </c>
      <c r="L436" s="11" t="n">
        <v>24</v>
      </c>
      <c r="M436" s="11">
        <f>K436-(H436*L436)</f>
        <v/>
      </c>
      <c r="N436" s="11">
        <f>H436*11</f>
        <v/>
      </c>
    </row>
    <row r="437">
      <c r="A437" t="inlineStr">
        <is>
          <t>LL-00436</t>
        </is>
      </c>
      <c r="B437" s="10" t="n">
        <v>46215</v>
      </c>
      <c r="C437" t="inlineStr">
        <is>
          <t>Jul</t>
        </is>
      </c>
      <c r="D437" t="inlineStr">
        <is>
          <t>South</t>
        </is>
      </c>
      <c r="E437" t="inlineStr">
        <is>
          <t>Retail</t>
        </is>
      </c>
      <c r="F437" t="inlineStr">
        <is>
          <t>Luna Throw</t>
        </is>
      </c>
      <c r="G437" t="inlineStr">
        <is>
          <t>Living</t>
        </is>
      </c>
      <c r="H437" t="n">
        <v>4</v>
      </c>
      <c r="I437" s="11" t="n">
        <v>69</v>
      </c>
      <c r="J437" s="12" t="n">
        <v>0.2</v>
      </c>
      <c r="K437" s="11">
        <f>H437*I437*(1-J437)</f>
        <v/>
      </c>
      <c r="L437" s="11" t="n">
        <v>31</v>
      </c>
      <c r="M437" s="11">
        <f>K437-(H437*L437)</f>
        <v/>
      </c>
      <c r="N437" s="11">
        <f>H437*6</f>
        <v/>
      </c>
    </row>
    <row r="438">
      <c r="A438" t="inlineStr">
        <is>
          <t>LL-00437</t>
        </is>
      </c>
      <c r="B438" s="10" t="n">
        <v>46065</v>
      </c>
      <c r="C438" t="inlineStr">
        <is>
          <t>Feb</t>
        </is>
      </c>
      <c r="D438" t="inlineStr">
        <is>
          <t>North</t>
        </is>
      </c>
      <c r="E438" t="inlineStr">
        <is>
          <t>Retail</t>
        </is>
      </c>
      <c r="F438" t="inlineStr">
        <is>
          <t>Arc Side Table</t>
        </is>
      </c>
      <c r="G438" t="inlineStr">
        <is>
          <t>Living</t>
        </is>
      </c>
      <c r="H438" t="n">
        <v>1</v>
      </c>
      <c r="I438" s="11" t="n">
        <v>139</v>
      </c>
      <c r="J438" s="12" t="n">
        <v>0.05</v>
      </c>
      <c r="K438" s="11">
        <f>H438*I438*(1-J438)</f>
        <v/>
      </c>
      <c r="L438" s="11" t="n">
        <v>72</v>
      </c>
      <c r="M438" s="11">
        <f>K438-(H438*L438)</f>
        <v/>
      </c>
      <c r="N438" s="11">
        <f>H438*6</f>
        <v/>
      </c>
    </row>
    <row r="439">
      <c r="A439" t="inlineStr">
        <is>
          <t>LL-00438</t>
        </is>
      </c>
      <c r="B439" s="10" t="n">
        <v>46226</v>
      </c>
      <c r="C439" t="inlineStr">
        <is>
          <t>Jul</t>
        </is>
      </c>
      <c r="D439" t="inlineStr">
        <is>
          <t>East</t>
        </is>
      </c>
      <c r="E439" t="inlineStr">
        <is>
          <t>Online</t>
        </is>
      </c>
      <c r="F439" t="inlineStr">
        <is>
          <t>Focus Monitor Stand</t>
        </is>
      </c>
      <c r="G439" t="inlineStr">
        <is>
          <t>Workspace</t>
        </is>
      </c>
      <c r="H439" t="n">
        <v>6</v>
      </c>
      <c r="I439" s="11" t="n">
        <v>79</v>
      </c>
      <c r="J439" s="12" t="n">
        <v>0.1</v>
      </c>
      <c r="K439" s="11">
        <f>H439*I439*(1-J439)</f>
        <v/>
      </c>
      <c r="L439" s="11" t="n">
        <v>36</v>
      </c>
      <c r="M439" s="11">
        <f>K439-(H439*L439)</f>
        <v/>
      </c>
      <c r="N439" s="11">
        <f>H439*11</f>
        <v/>
      </c>
    </row>
    <row r="440">
      <c r="A440" t="inlineStr">
        <is>
          <t>LL-00439</t>
        </is>
      </c>
      <c r="B440" s="10" t="n">
        <v>46250</v>
      </c>
      <c r="C440" t="inlineStr">
        <is>
          <t>Aug</t>
        </is>
      </c>
      <c r="D440" t="inlineStr">
        <is>
          <t>South</t>
        </is>
      </c>
      <c r="E440" t="inlineStr">
        <is>
          <t>Online</t>
        </is>
      </c>
      <c r="F440" t="inlineStr">
        <is>
          <t>Aurora Desk Lamp</t>
        </is>
      </c>
      <c r="G440" t="inlineStr">
        <is>
          <t>Lighting</t>
        </is>
      </c>
      <c r="H440" t="n">
        <v>1</v>
      </c>
      <c r="I440" s="11" t="n">
        <v>89</v>
      </c>
      <c r="J440" s="12" t="n">
        <v>0.1</v>
      </c>
      <c r="K440" s="11">
        <f>H440*I440*(1-J440)</f>
        <v/>
      </c>
      <c r="L440" s="11" t="n">
        <v>42</v>
      </c>
      <c r="M440" s="11">
        <f>K440-(H440*L440)</f>
        <v/>
      </c>
      <c r="N440" s="11">
        <f>H440*11</f>
        <v/>
      </c>
    </row>
    <row r="441">
      <c r="A441" t="inlineStr">
        <is>
          <t>LL-00440</t>
        </is>
      </c>
      <c r="B441" s="10" t="n">
        <v>46323</v>
      </c>
      <c r="C441" t="inlineStr">
        <is>
          <t>Oct</t>
        </is>
      </c>
      <c r="D441" t="inlineStr">
        <is>
          <t>East</t>
        </is>
      </c>
      <c r="E441" t="inlineStr">
        <is>
          <t>Marketplace</t>
        </is>
      </c>
      <c r="F441" t="inlineStr">
        <is>
          <t>Nest Basket</t>
        </is>
      </c>
      <c r="G441" t="inlineStr">
        <is>
          <t>Living</t>
        </is>
      </c>
      <c r="H441" t="n">
        <v>8</v>
      </c>
      <c r="I441" s="11" t="n">
        <v>55</v>
      </c>
      <c r="J441" s="12" t="n">
        <v>0.1</v>
      </c>
      <c r="K441" s="11">
        <f>H441*I441*(1-J441)</f>
        <v/>
      </c>
      <c r="L441" s="11" t="n">
        <v>24</v>
      </c>
      <c r="M441" s="11">
        <f>K441-(H441*L441)</f>
        <v/>
      </c>
      <c r="N441" s="11">
        <f>H441*15</f>
        <v/>
      </c>
    </row>
    <row r="442">
      <c r="A442" t="inlineStr">
        <is>
          <t>LL-00441</t>
        </is>
      </c>
      <c r="B442" s="10" t="n">
        <v>46169</v>
      </c>
      <c r="C442" t="inlineStr">
        <is>
          <t>May</t>
        </is>
      </c>
      <c r="D442" t="inlineStr">
        <is>
          <t>North</t>
        </is>
      </c>
      <c r="E442" t="inlineStr">
        <is>
          <t>Marketplace</t>
        </is>
      </c>
      <c r="F442" t="inlineStr">
        <is>
          <t>Arc Side Table</t>
        </is>
      </c>
      <c r="G442" t="inlineStr">
        <is>
          <t>Living</t>
        </is>
      </c>
      <c r="H442" t="n">
        <v>2</v>
      </c>
      <c r="I442" s="11" t="n">
        <v>139</v>
      </c>
      <c r="J442" s="12" t="n">
        <v>0.05</v>
      </c>
      <c r="K442" s="11">
        <f>H442*I442*(1-J442)</f>
        <v/>
      </c>
      <c r="L442" s="11" t="n">
        <v>72</v>
      </c>
      <c r="M442" s="11">
        <f>K442-(H442*L442)</f>
        <v/>
      </c>
      <c r="N442" s="11">
        <f>H442*15</f>
        <v/>
      </c>
    </row>
    <row r="443">
      <c r="A443" t="inlineStr">
        <is>
          <t>LL-00442</t>
        </is>
      </c>
      <c r="B443" s="10" t="n">
        <v>46253</v>
      </c>
      <c r="C443" t="inlineStr">
        <is>
          <t>Aug</t>
        </is>
      </c>
      <c r="D443" t="inlineStr">
        <is>
          <t>West</t>
        </is>
      </c>
      <c r="E443" t="inlineStr">
        <is>
          <t>Online</t>
        </is>
      </c>
      <c r="F443" t="inlineStr">
        <is>
          <t>Halo Floor Lamp</t>
        </is>
      </c>
      <c r="G443" t="inlineStr">
        <is>
          <t>Lighting</t>
        </is>
      </c>
      <c r="H443" t="n">
        <v>3</v>
      </c>
      <c r="I443" s="11" t="n">
        <v>159</v>
      </c>
      <c r="J443" s="12" t="n">
        <v>0.05</v>
      </c>
      <c r="K443" s="11">
        <f>H443*I443*(1-J443)</f>
        <v/>
      </c>
      <c r="L443" s="11" t="n">
        <v>79</v>
      </c>
      <c r="M443" s="11">
        <f>K443-(H443*L443)</f>
        <v/>
      </c>
      <c r="N443" s="11">
        <f>H443*11</f>
        <v/>
      </c>
    </row>
    <row r="444">
      <c r="A444" t="inlineStr">
        <is>
          <t>LL-00443</t>
        </is>
      </c>
      <c r="B444" s="10" t="n">
        <v>46033</v>
      </c>
      <c r="C444" t="inlineStr">
        <is>
          <t>Jan</t>
        </is>
      </c>
      <c r="D444" t="inlineStr">
        <is>
          <t>West</t>
        </is>
      </c>
      <c r="E444" t="inlineStr">
        <is>
          <t>Online</t>
        </is>
      </c>
      <c r="F444" t="inlineStr">
        <is>
          <t>Halo Floor Lamp</t>
        </is>
      </c>
      <c r="G444" t="inlineStr">
        <is>
          <t>Lighting</t>
        </is>
      </c>
      <c r="H444" t="n">
        <v>5</v>
      </c>
      <c r="I444" s="11" t="n">
        <v>159</v>
      </c>
      <c r="J444" s="12" t="n">
        <v>0</v>
      </c>
      <c r="K444" s="11">
        <f>H444*I444*(1-J444)</f>
        <v/>
      </c>
      <c r="L444" s="11" t="n">
        <v>79</v>
      </c>
      <c r="M444" s="11">
        <f>K444-(H444*L444)</f>
        <v/>
      </c>
      <c r="N444" s="11">
        <f>H444*11</f>
        <v/>
      </c>
    </row>
    <row r="445">
      <c r="A445" t="inlineStr">
        <is>
          <t>LL-00444</t>
        </is>
      </c>
      <c r="B445" s="10" t="n">
        <v>46077</v>
      </c>
      <c r="C445" t="inlineStr">
        <is>
          <t>Feb</t>
        </is>
      </c>
      <c r="D445" t="inlineStr">
        <is>
          <t>East</t>
        </is>
      </c>
      <c r="E445" t="inlineStr">
        <is>
          <t>Online</t>
        </is>
      </c>
      <c r="F445" t="inlineStr">
        <is>
          <t>Nest Basket</t>
        </is>
      </c>
      <c r="G445" t="inlineStr">
        <is>
          <t>Living</t>
        </is>
      </c>
      <c r="H445" t="n">
        <v>5</v>
      </c>
      <c r="I445" s="11" t="n">
        <v>55</v>
      </c>
      <c r="J445" s="12" t="n">
        <v>0</v>
      </c>
      <c r="K445" s="11">
        <f>H445*I445*(1-J445)</f>
        <v/>
      </c>
      <c r="L445" s="11" t="n">
        <v>24</v>
      </c>
      <c r="M445" s="11">
        <f>K445-(H445*L445)</f>
        <v/>
      </c>
      <c r="N445" s="11">
        <f>H445*11</f>
        <v/>
      </c>
    </row>
    <row r="446">
      <c r="A446" t="inlineStr">
        <is>
          <t>LL-00445</t>
        </is>
      </c>
      <c r="B446" s="10" t="n">
        <v>46032</v>
      </c>
      <c r="C446" t="inlineStr">
        <is>
          <t>Jan</t>
        </is>
      </c>
      <c r="D446" t="inlineStr">
        <is>
          <t>East</t>
        </is>
      </c>
      <c r="E446" t="inlineStr">
        <is>
          <t>Retail</t>
        </is>
      </c>
      <c r="F446" t="inlineStr">
        <is>
          <t>Luna Throw</t>
        </is>
      </c>
      <c r="G446" t="inlineStr">
        <is>
          <t>Living</t>
        </is>
      </c>
      <c r="H446" t="n">
        <v>3</v>
      </c>
      <c r="I446" s="11" t="n">
        <v>69</v>
      </c>
      <c r="J446" s="12" t="n">
        <v>0.05</v>
      </c>
      <c r="K446" s="11">
        <f>H446*I446*(1-J446)</f>
        <v/>
      </c>
      <c r="L446" s="11" t="n">
        <v>31</v>
      </c>
      <c r="M446" s="11">
        <f>K446-(H446*L446)</f>
        <v/>
      </c>
      <c r="N446" s="11">
        <f>H446*6</f>
        <v/>
      </c>
    </row>
    <row r="447">
      <c r="A447" t="inlineStr">
        <is>
          <t>LL-00446</t>
        </is>
      </c>
      <c r="B447" s="10" t="n">
        <v>46028</v>
      </c>
      <c r="C447" t="inlineStr">
        <is>
          <t>Jan</t>
        </is>
      </c>
      <c r="D447" t="inlineStr">
        <is>
          <t>East</t>
        </is>
      </c>
      <c r="E447" t="inlineStr">
        <is>
          <t>Online</t>
        </is>
      </c>
      <c r="F447" t="inlineStr">
        <is>
          <t>Focus Monitor Stand</t>
        </is>
      </c>
      <c r="G447" t="inlineStr">
        <is>
          <t>Workspace</t>
        </is>
      </c>
      <c r="H447" t="n">
        <v>1</v>
      </c>
      <c r="I447" s="11" t="n">
        <v>79</v>
      </c>
      <c r="J447" s="12" t="n">
        <v>0</v>
      </c>
      <c r="K447" s="11">
        <f>H447*I447*(1-J447)</f>
        <v/>
      </c>
      <c r="L447" s="11" t="n">
        <v>36</v>
      </c>
      <c r="M447" s="11">
        <f>K447-(H447*L447)</f>
        <v/>
      </c>
      <c r="N447" s="11">
        <f>H447*11</f>
        <v/>
      </c>
    </row>
    <row r="448">
      <c r="A448" t="inlineStr">
        <is>
          <t>LL-00447</t>
        </is>
      </c>
      <c r="B448" s="10" t="n">
        <v>46101</v>
      </c>
      <c r="C448" t="inlineStr">
        <is>
          <t>Mar</t>
        </is>
      </c>
      <c r="D448" t="inlineStr">
        <is>
          <t>South</t>
        </is>
      </c>
      <c r="E448" t="inlineStr">
        <is>
          <t>Retail</t>
        </is>
      </c>
      <c r="F448" t="inlineStr">
        <is>
          <t>Luna Throw</t>
        </is>
      </c>
      <c r="G448" t="inlineStr">
        <is>
          <t>Living</t>
        </is>
      </c>
      <c r="H448" t="n">
        <v>7</v>
      </c>
      <c r="I448" s="11" t="n">
        <v>69</v>
      </c>
      <c r="J448" s="12" t="n">
        <v>0.05</v>
      </c>
      <c r="K448" s="11">
        <f>H448*I448*(1-J448)</f>
        <v/>
      </c>
      <c r="L448" s="11" t="n">
        <v>31</v>
      </c>
      <c r="M448" s="11">
        <f>K448-(H448*L448)</f>
        <v/>
      </c>
      <c r="N448" s="11">
        <f>H448*6</f>
        <v/>
      </c>
    </row>
    <row r="449">
      <c r="A449" t="inlineStr">
        <is>
          <t>LL-00448</t>
        </is>
      </c>
      <c r="B449" s="10" t="n">
        <v>46062</v>
      </c>
      <c r="C449" t="inlineStr">
        <is>
          <t>Feb</t>
        </is>
      </c>
      <c r="D449" t="inlineStr">
        <is>
          <t>South</t>
        </is>
      </c>
      <c r="E449" t="inlineStr">
        <is>
          <t>Retail</t>
        </is>
      </c>
      <c r="F449" t="inlineStr">
        <is>
          <t>Focus Monitor Stand</t>
        </is>
      </c>
      <c r="G449" t="inlineStr">
        <is>
          <t>Workspace</t>
        </is>
      </c>
      <c r="H449" t="n">
        <v>4</v>
      </c>
      <c r="I449" s="11" t="n">
        <v>79</v>
      </c>
      <c r="J449" s="12" t="n">
        <v>0.1</v>
      </c>
      <c r="K449" s="11">
        <f>H449*I449*(1-J449)</f>
        <v/>
      </c>
      <c r="L449" s="11" t="n">
        <v>36</v>
      </c>
      <c r="M449" s="11">
        <f>K449-(H449*L449)</f>
        <v/>
      </c>
      <c r="N449" s="11">
        <f>H449*6</f>
        <v/>
      </c>
    </row>
    <row r="450">
      <c r="A450" t="inlineStr">
        <is>
          <t>LL-00449</t>
        </is>
      </c>
      <c r="B450" s="10" t="n">
        <v>46046</v>
      </c>
      <c r="C450" t="inlineStr">
        <is>
          <t>Jan</t>
        </is>
      </c>
      <c r="D450" t="inlineStr">
        <is>
          <t>East</t>
        </is>
      </c>
      <c r="E450" t="inlineStr">
        <is>
          <t>Marketplace</t>
        </is>
      </c>
      <c r="F450" t="inlineStr">
        <is>
          <t>Focus Monitor Stand</t>
        </is>
      </c>
      <c r="G450" t="inlineStr">
        <is>
          <t>Workspace</t>
        </is>
      </c>
      <c r="H450" t="n">
        <v>6</v>
      </c>
      <c r="I450" s="11" t="n">
        <v>79</v>
      </c>
      <c r="J450" s="12" t="n">
        <v>0.05</v>
      </c>
      <c r="K450" s="11">
        <f>H450*I450*(1-J450)</f>
        <v/>
      </c>
      <c r="L450" s="11" t="n">
        <v>36</v>
      </c>
      <c r="M450" s="11">
        <f>K450-(H450*L450)</f>
        <v/>
      </c>
      <c r="N450" s="11">
        <f>H450*15</f>
        <v/>
      </c>
    </row>
    <row r="451">
      <c r="A451" t="inlineStr">
        <is>
          <t>LL-00450</t>
        </is>
      </c>
      <c r="B451" s="10" t="n">
        <v>46367</v>
      </c>
      <c r="C451" t="inlineStr">
        <is>
          <t>Dec</t>
        </is>
      </c>
      <c r="D451" t="inlineStr">
        <is>
          <t>East</t>
        </is>
      </c>
      <c r="E451" t="inlineStr">
        <is>
          <t>Online</t>
        </is>
      </c>
      <c r="F451" t="inlineStr">
        <is>
          <t>Halo Floor Lamp</t>
        </is>
      </c>
      <c r="G451" t="inlineStr">
        <is>
          <t>Lighting</t>
        </is>
      </c>
      <c r="H451" t="n">
        <v>5</v>
      </c>
      <c r="I451" s="11" t="n">
        <v>159</v>
      </c>
      <c r="J451" s="12" t="n">
        <v>0.1</v>
      </c>
      <c r="K451" s="11">
        <f>H451*I451*(1-J451)</f>
        <v/>
      </c>
      <c r="L451" s="11" t="n">
        <v>79</v>
      </c>
      <c r="M451" s="11">
        <f>K451-(H451*L451)</f>
        <v/>
      </c>
      <c r="N451" s="11">
        <f>H451*11</f>
        <v/>
      </c>
    </row>
    <row r="452">
      <c r="A452" t="inlineStr">
        <is>
          <t>LL-00451</t>
        </is>
      </c>
      <c r="B452" s="10" t="n">
        <v>46118</v>
      </c>
      <c r="C452" t="inlineStr">
        <is>
          <t>Apr</t>
        </is>
      </c>
      <c r="D452" t="inlineStr">
        <is>
          <t>North</t>
        </is>
      </c>
      <c r="E452" t="inlineStr">
        <is>
          <t>Retail</t>
        </is>
      </c>
      <c r="F452" t="inlineStr">
        <is>
          <t>Luna Throw</t>
        </is>
      </c>
      <c r="G452" t="inlineStr">
        <is>
          <t>Living</t>
        </is>
      </c>
      <c r="H452" t="n">
        <v>4</v>
      </c>
      <c r="I452" s="11" t="n">
        <v>69</v>
      </c>
      <c r="J452" s="12" t="n">
        <v>0.1</v>
      </c>
      <c r="K452" s="11">
        <f>H452*I452*(1-J452)</f>
        <v/>
      </c>
      <c r="L452" s="11" t="n">
        <v>31</v>
      </c>
      <c r="M452" s="11">
        <f>K452-(H452*L452)</f>
        <v/>
      </c>
      <c r="N452" s="11">
        <f>H452*6</f>
        <v/>
      </c>
    </row>
    <row r="453">
      <c r="A453" t="inlineStr">
        <is>
          <t>LL-00452</t>
        </is>
      </c>
      <c r="B453" s="10" t="n">
        <v>46259</v>
      </c>
      <c r="C453" t="inlineStr">
        <is>
          <t>Aug</t>
        </is>
      </c>
      <c r="D453" t="inlineStr">
        <is>
          <t>North</t>
        </is>
      </c>
      <c r="E453" t="inlineStr">
        <is>
          <t>Online</t>
        </is>
      </c>
      <c r="F453" t="inlineStr">
        <is>
          <t>Halo Floor Lamp</t>
        </is>
      </c>
      <c r="G453" t="inlineStr">
        <is>
          <t>Lighting</t>
        </is>
      </c>
      <c r="H453" t="n">
        <v>7</v>
      </c>
      <c r="I453" s="11" t="n">
        <v>159</v>
      </c>
      <c r="J453" s="12" t="n">
        <v>0.2</v>
      </c>
      <c r="K453" s="11">
        <f>H453*I453*(1-J453)</f>
        <v/>
      </c>
      <c r="L453" s="11" t="n">
        <v>79</v>
      </c>
      <c r="M453" s="11">
        <f>K453-(H453*L453)</f>
        <v/>
      </c>
      <c r="N453" s="11">
        <f>H453*11</f>
        <v/>
      </c>
    </row>
    <row r="454">
      <c r="A454" t="inlineStr">
        <is>
          <t>LL-00453</t>
        </is>
      </c>
      <c r="B454" s="10" t="n">
        <v>46133</v>
      </c>
      <c r="C454" t="inlineStr">
        <is>
          <t>Apr</t>
        </is>
      </c>
      <c r="D454" t="inlineStr">
        <is>
          <t>West</t>
        </is>
      </c>
      <c r="E454" t="inlineStr">
        <is>
          <t>Retail</t>
        </is>
      </c>
      <c r="F454" t="inlineStr">
        <is>
          <t>Aurora Desk Lamp</t>
        </is>
      </c>
      <c r="G454" t="inlineStr">
        <is>
          <t>Lighting</t>
        </is>
      </c>
      <c r="H454" t="n">
        <v>2</v>
      </c>
      <c r="I454" s="11" t="n">
        <v>89</v>
      </c>
      <c r="J454" s="12" t="n">
        <v>0.1</v>
      </c>
      <c r="K454" s="11">
        <f>H454*I454*(1-J454)</f>
        <v/>
      </c>
      <c r="L454" s="11" t="n">
        <v>42</v>
      </c>
      <c r="M454" s="11">
        <f>K454-(H454*L454)</f>
        <v/>
      </c>
      <c r="N454" s="11">
        <f>H454*6</f>
        <v/>
      </c>
    </row>
    <row r="455">
      <c r="A455" t="inlineStr">
        <is>
          <t>LL-00454</t>
        </is>
      </c>
      <c r="B455" s="10" t="n">
        <v>46156</v>
      </c>
      <c r="C455" t="inlineStr">
        <is>
          <t>May</t>
        </is>
      </c>
      <c r="D455" t="inlineStr">
        <is>
          <t>North</t>
        </is>
      </c>
      <c r="E455" t="inlineStr">
        <is>
          <t>Retail</t>
        </is>
      </c>
      <c r="F455" t="inlineStr">
        <is>
          <t>Luna Throw</t>
        </is>
      </c>
      <c r="G455" t="inlineStr">
        <is>
          <t>Living</t>
        </is>
      </c>
      <c r="H455" t="n">
        <v>2</v>
      </c>
      <c r="I455" s="11" t="n">
        <v>69</v>
      </c>
      <c r="J455" s="12" t="n">
        <v>0</v>
      </c>
      <c r="K455" s="11">
        <f>H455*I455*(1-J455)</f>
        <v/>
      </c>
      <c r="L455" s="11" t="n">
        <v>31</v>
      </c>
      <c r="M455" s="11">
        <f>K455-(H455*L455)</f>
        <v/>
      </c>
      <c r="N455" s="11">
        <f>H455*6</f>
        <v/>
      </c>
    </row>
    <row r="456">
      <c r="A456" t="inlineStr">
        <is>
          <t>LL-00455</t>
        </is>
      </c>
      <c r="B456" s="10" t="n">
        <v>46158</v>
      </c>
      <c r="C456" t="inlineStr">
        <is>
          <t>May</t>
        </is>
      </c>
      <c r="D456" t="inlineStr">
        <is>
          <t>East</t>
        </is>
      </c>
      <c r="E456" t="inlineStr">
        <is>
          <t>Retail</t>
        </is>
      </c>
      <c r="F456" t="inlineStr">
        <is>
          <t>Halo Floor Lamp</t>
        </is>
      </c>
      <c r="G456" t="inlineStr">
        <is>
          <t>Lighting</t>
        </is>
      </c>
      <c r="H456" t="n">
        <v>4</v>
      </c>
      <c r="I456" s="11" t="n">
        <v>159</v>
      </c>
      <c r="J456" s="12" t="n">
        <v>0.05</v>
      </c>
      <c r="K456" s="11">
        <f>H456*I456*(1-J456)</f>
        <v/>
      </c>
      <c r="L456" s="11" t="n">
        <v>79</v>
      </c>
      <c r="M456" s="11">
        <f>K456-(H456*L456)</f>
        <v/>
      </c>
      <c r="N456" s="11">
        <f>H456*6</f>
        <v/>
      </c>
    </row>
    <row r="457">
      <c r="A457" t="inlineStr">
        <is>
          <t>LL-00456</t>
        </is>
      </c>
      <c r="B457" s="10" t="n">
        <v>46139</v>
      </c>
      <c r="C457" t="inlineStr">
        <is>
          <t>Apr</t>
        </is>
      </c>
      <c r="D457" t="inlineStr">
        <is>
          <t>East</t>
        </is>
      </c>
      <c r="E457" t="inlineStr">
        <is>
          <t>Online</t>
        </is>
      </c>
      <c r="F457" t="inlineStr">
        <is>
          <t>Focus Monitor Stand</t>
        </is>
      </c>
      <c r="G457" t="inlineStr">
        <is>
          <t>Workspace</t>
        </is>
      </c>
      <c r="H457" t="n">
        <v>4</v>
      </c>
      <c r="I457" s="11" t="n">
        <v>79</v>
      </c>
      <c r="J457" s="12" t="n">
        <v>0.15</v>
      </c>
      <c r="K457" s="11">
        <f>H457*I457*(1-J457)</f>
        <v/>
      </c>
      <c r="L457" s="11" t="n">
        <v>36</v>
      </c>
      <c r="M457" s="11">
        <f>K457-(H457*L457)</f>
        <v/>
      </c>
      <c r="N457" s="11">
        <f>H457*11</f>
        <v/>
      </c>
    </row>
    <row r="458">
      <c r="A458" t="inlineStr">
        <is>
          <t>LL-00457</t>
        </is>
      </c>
      <c r="B458" s="10" t="n">
        <v>46378</v>
      </c>
      <c r="C458" t="inlineStr">
        <is>
          <t>Dec</t>
        </is>
      </c>
      <c r="D458" t="inlineStr">
        <is>
          <t>North</t>
        </is>
      </c>
      <c r="E458" t="inlineStr">
        <is>
          <t>Retail</t>
        </is>
      </c>
      <c r="F458" t="inlineStr">
        <is>
          <t>Focus Monitor Stand</t>
        </is>
      </c>
      <c r="G458" t="inlineStr">
        <is>
          <t>Workspace</t>
        </is>
      </c>
      <c r="H458" t="n">
        <v>5</v>
      </c>
      <c r="I458" s="11" t="n">
        <v>79</v>
      </c>
      <c r="J458" s="12" t="n">
        <v>0</v>
      </c>
      <c r="K458" s="11">
        <f>H458*I458*(1-J458)</f>
        <v/>
      </c>
      <c r="L458" s="11" t="n">
        <v>36</v>
      </c>
      <c r="M458" s="11">
        <f>K458-(H458*L458)</f>
        <v/>
      </c>
      <c r="N458" s="11">
        <f>H458*6</f>
        <v/>
      </c>
    </row>
    <row r="459">
      <c r="A459" t="inlineStr">
        <is>
          <t>LL-00458</t>
        </is>
      </c>
      <c r="B459" s="10" t="n">
        <v>46200</v>
      </c>
      <c r="C459" t="inlineStr">
        <is>
          <t>Jun</t>
        </is>
      </c>
      <c r="D459" t="inlineStr">
        <is>
          <t>East</t>
        </is>
      </c>
      <c r="E459" t="inlineStr">
        <is>
          <t>Retail</t>
        </is>
      </c>
      <c r="F459" t="inlineStr">
        <is>
          <t>Aurora Desk Lamp</t>
        </is>
      </c>
      <c r="G459" t="inlineStr">
        <is>
          <t>Lighting</t>
        </is>
      </c>
      <c r="H459" t="n">
        <v>4</v>
      </c>
      <c r="I459" s="11" t="n">
        <v>89</v>
      </c>
      <c r="J459" s="12" t="n">
        <v>0.05</v>
      </c>
      <c r="K459" s="11">
        <f>H459*I459*(1-J459)</f>
        <v/>
      </c>
      <c r="L459" s="11" t="n">
        <v>42</v>
      </c>
      <c r="M459" s="11">
        <f>K459-(H459*L459)</f>
        <v/>
      </c>
      <c r="N459" s="11">
        <f>H459*6</f>
        <v/>
      </c>
    </row>
    <row r="460">
      <c r="A460" t="inlineStr">
        <is>
          <t>LL-00459</t>
        </is>
      </c>
      <c r="B460" s="10" t="n">
        <v>46263</v>
      </c>
      <c r="C460" t="inlineStr">
        <is>
          <t>Aug</t>
        </is>
      </c>
      <c r="D460" t="inlineStr">
        <is>
          <t>North</t>
        </is>
      </c>
      <c r="E460" t="inlineStr">
        <is>
          <t>Retail</t>
        </is>
      </c>
      <c r="F460" t="inlineStr">
        <is>
          <t>Nest Basket</t>
        </is>
      </c>
      <c r="G460" t="inlineStr">
        <is>
          <t>Living</t>
        </is>
      </c>
      <c r="H460" t="n">
        <v>4</v>
      </c>
      <c r="I460" s="11" t="n">
        <v>55</v>
      </c>
      <c r="J460" s="12" t="n">
        <v>0</v>
      </c>
      <c r="K460" s="11">
        <f>H460*I460*(1-J460)</f>
        <v/>
      </c>
      <c r="L460" s="11" t="n">
        <v>24</v>
      </c>
      <c r="M460" s="11">
        <f>K460-(H460*L460)</f>
        <v/>
      </c>
      <c r="N460" s="11">
        <f>H460*6</f>
        <v/>
      </c>
    </row>
    <row r="461">
      <c r="A461" t="inlineStr">
        <is>
          <t>LL-00460</t>
        </is>
      </c>
      <c r="B461" s="10" t="n">
        <v>46302</v>
      </c>
      <c r="C461" t="inlineStr">
        <is>
          <t>Oct</t>
        </is>
      </c>
      <c r="D461" t="inlineStr">
        <is>
          <t>North</t>
        </is>
      </c>
      <c r="E461" t="inlineStr">
        <is>
          <t>Retail</t>
        </is>
      </c>
      <c r="F461" t="inlineStr">
        <is>
          <t>Focus Monitor Stand</t>
        </is>
      </c>
      <c r="G461" t="inlineStr">
        <is>
          <t>Workspace</t>
        </is>
      </c>
      <c r="H461" t="n">
        <v>6</v>
      </c>
      <c r="I461" s="11" t="n">
        <v>79</v>
      </c>
      <c r="J461" s="12" t="n">
        <v>0</v>
      </c>
      <c r="K461" s="11">
        <f>H461*I461*(1-J461)</f>
        <v/>
      </c>
      <c r="L461" s="11" t="n">
        <v>36</v>
      </c>
      <c r="M461" s="11">
        <f>K461-(H461*L461)</f>
        <v/>
      </c>
      <c r="N461" s="11">
        <f>H461*6</f>
        <v/>
      </c>
    </row>
    <row r="462">
      <c r="A462" t="inlineStr">
        <is>
          <t>LL-00461</t>
        </is>
      </c>
      <c r="B462" s="10" t="n">
        <v>46206</v>
      </c>
      <c r="C462" t="inlineStr">
        <is>
          <t>Jul</t>
        </is>
      </c>
      <c r="D462" t="inlineStr">
        <is>
          <t>East</t>
        </is>
      </c>
      <c r="E462" t="inlineStr">
        <is>
          <t>Retail</t>
        </is>
      </c>
      <c r="F462" t="inlineStr">
        <is>
          <t>Focus Monitor Stand</t>
        </is>
      </c>
      <c r="G462" t="inlineStr">
        <is>
          <t>Workspace</t>
        </is>
      </c>
      <c r="H462" t="n">
        <v>1</v>
      </c>
      <c r="I462" s="11" t="n">
        <v>79</v>
      </c>
      <c r="J462" s="12" t="n">
        <v>0.1</v>
      </c>
      <c r="K462" s="11">
        <f>H462*I462*(1-J462)</f>
        <v/>
      </c>
      <c r="L462" s="11" t="n">
        <v>36</v>
      </c>
      <c r="M462" s="11">
        <f>K462-(H462*L462)</f>
        <v/>
      </c>
      <c r="N462" s="11">
        <f>H462*6</f>
        <v/>
      </c>
    </row>
    <row r="463">
      <c r="A463" t="inlineStr">
        <is>
          <t>LL-00462</t>
        </is>
      </c>
      <c r="B463" s="10" t="n">
        <v>46354</v>
      </c>
      <c r="C463" t="inlineStr">
        <is>
          <t>Nov</t>
        </is>
      </c>
      <c r="D463" t="inlineStr">
        <is>
          <t>North</t>
        </is>
      </c>
      <c r="E463" t="inlineStr">
        <is>
          <t>Retail</t>
        </is>
      </c>
      <c r="F463" t="inlineStr">
        <is>
          <t>Aurora Desk Lamp</t>
        </is>
      </c>
      <c r="G463" t="inlineStr">
        <is>
          <t>Lighting</t>
        </is>
      </c>
      <c r="H463" t="n">
        <v>7</v>
      </c>
      <c r="I463" s="11" t="n">
        <v>89</v>
      </c>
      <c r="J463" s="12" t="n">
        <v>0.15</v>
      </c>
      <c r="K463" s="11">
        <f>H463*I463*(1-J463)</f>
        <v/>
      </c>
      <c r="L463" s="11" t="n">
        <v>42</v>
      </c>
      <c r="M463" s="11">
        <f>K463-(H463*L463)</f>
        <v/>
      </c>
      <c r="N463" s="11">
        <f>H463*6</f>
        <v/>
      </c>
    </row>
    <row r="464">
      <c r="A464" t="inlineStr">
        <is>
          <t>LL-00463</t>
        </is>
      </c>
      <c r="B464" s="10" t="n">
        <v>46189</v>
      </c>
      <c r="C464" t="inlineStr">
        <is>
          <t>Jun</t>
        </is>
      </c>
      <c r="D464" t="inlineStr">
        <is>
          <t>East</t>
        </is>
      </c>
      <c r="E464" t="inlineStr">
        <is>
          <t>Retail</t>
        </is>
      </c>
      <c r="F464" t="inlineStr">
        <is>
          <t>Arc Side Table</t>
        </is>
      </c>
      <c r="G464" t="inlineStr">
        <is>
          <t>Living</t>
        </is>
      </c>
      <c r="H464" t="n">
        <v>8</v>
      </c>
      <c r="I464" s="11" t="n">
        <v>139</v>
      </c>
      <c r="J464" s="12" t="n">
        <v>0.2</v>
      </c>
      <c r="K464" s="11">
        <f>H464*I464*(1-J464)</f>
        <v/>
      </c>
      <c r="L464" s="11" t="n">
        <v>72</v>
      </c>
      <c r="M464" s="11">
        <f>K464-(H464*L464)</f>
        <v/>
      </c>
      <c r="N464" s="11">
        <f>H464*6</f>
        <v/>
      </c>
    </row>
    <row r="465">
      <c r="A465" t="inlineStr">
        <is>
          <t>LL-00464</t>
        </is>
      </c>
      <c r="B465" s="10" t="n">
        <v>46201</v>
      </c>
      <c r="C465" t="inlineStr">
        <is>
          <t>Jun</t>
        </is>
      </c>
      <c r="D465" t="inlineStr">
        <is>
          <t>West</t>
        </is>
      </c>
      <c r="E465" t="inlineStr">
        <is>
          <t>Marketplace</t>
        </is>
      </c>
      <c r="F465" t="inlineStr">
        <is>
          <t>Arc Side Table</t>
        </is>
      </c>
      <c r="G465" t="inlineStr">
        <is>
          <t>Living</t>
        </is>
      </c>
      <c r="H465" t="n">
        <v>1</v>
      </c>
      <c r="I465" s="11" t="n">
        <v>139</v>
      </c>
      <c r="J465" s="12" t="n">
        <v>0</v>
      </c>
      <c r="K465" s="11">
        <f>H465*I465*(1-J465)</f>
        <v/>
      </c>
      <c r="L465" s="11" t="n">
        <v>72</v>
      </c>
      <c r="M465" s="11">
        <f>K465-(H465*L465)</f>
        <v/>
      </c>
      <c r="N465" s="11">
        <f>H465*15</f>
        <v/>
      </c>
    </row>
    <row r="466">
      <c r="A466" t="inlineStr">
        <is>
          <t>LL-00465</t>
        </is>
      </c>
      <c r="B466" s="10" t="n">
        <v>46033</v>
      </c>
      <c r="C466" t="inlineStr">
        <is>
          <t>Jan</t>
        </is>
      </c>
      <c r="D466" t="inlineStr">
        <is>
          <t>East</t>
        </is>
      </c>
      <c r="E466" t="inlineStr">
        <is>
          <t>Marketplace</t>
        </is>
      </c>
      <c r="F466" t="inlineStr">
        <is>
          <t>Nest Basket</t>
        </is>
      </c>
      <c r="G466" t="inlineStr">
        <is>
          <t>Living</t>
        </is>
      </c>
      <c r="H466" t="n">
        <v>7</v>
      </c>
      <c r="I466" s="11" t="n">
        <v>55</v>
      </c>
      <c r="J466" s="12" t="n">
        <v>0</v>
      </c>
      <c r="K466" s="11">
        <f>H466*I466*(1-J466)</f>
        <v/>
      </c>
      <c r="L466" s="11" t="n">
        <v>24</v>
      </c>
      <c r="M466" s="11">
        <f>K466-(H466*L466)</f>
        <v/>
      </c>
      <c r="N466" s="11">
        <f>H466*15</f>
        <v/>
      </c>
    </row>
    <row r="467">
      <c r="A467" t="inlineStr">
        <is>
          <t>LL-00466</t>
        </is>
      </c>
      <c r="B467" s="10" t="n">
        <v>46384</v>
      </c>
      <c r="C467" t="inlineStr">
        <is>
          <t>Dec</t>
        </is>
      </c>
      <c r="D467" t="inlineStr">
        <is>
          <t>West</t>
        </is>
      </c>
      <c r="E467" t="inlineStr">
        <is>
          <t>Online</t>
        </is>
      </c>
      <c r="F467" t="inlineStr">
        <is>
          <t>Halo Floor Lamp</t>
        </is>
      </c>
      <c r="G467" t="inlineStr">
        <is>
          <t>Lighting</t>
        </is>
      </c>
      <c r="H467" t="n">
        <v>8</v>
      </c>
      <c r="I467" s="11" t="n">
        <v>159</v>
      </c>
      <c r="J467" s="12" t="n">
        <v>0.15</v>
      </c>
      <c r="K467" s="11">
        <f>H467*I467*(1-J467)</f>
        <v/>
      </c>
      <c r="L467" s="11" t="n">
        <v>79</v>
      </c>
      <c r="M467" s="11">
        <f>K467-(H467*L467)</f>
        <v/>
      </c>
      <c r="N467" s="11">
        <f>H467*11</f>
        <v/>
      </c>
    </row>
    <row r="468">
      <c r="A468" t="inlineStr">
        <is>
          <t>LL-00467</t>
        </is>
      </c>
      <c r="B468" s="10" t="n">
        <v>46277</v>
      </c>
      <c r="C468" t="inlineStr">
        <is>
          <t>Sep</t>
        </is>
      </c>
      <c r="D468" t="inlineStr">
        <is>
          <t>South</t>
        </is>
      </c>
      <c r="E468" t="inlineStr">
        <is>
          <t>Marketplace</t>
        </is>
      </c>
      <c r="F468" t="inlineStr">
        <is>
          <t>Halo Floor Lamp</t>
        </is>
      </c>
      <c r="G468" t="inlineStr">
        <is>
          <t>Lighting</t>
        </is>
      </c>
      <c r="H468" t="n">
        <v>5</v>
      </c>
      <c r="I468" s="11" t="n">
        <v>159</v>
      </c>
      <c r="J468" s="12" t="n">
        <v>0.1</v>
      </c>
      <c r="K468" s="11">
        <f>H468*I468*(1-J468)</f>
        <v/>
      </c>
      <c r="L468" s="11" t="n">
        <v>79</v>
      </c>
      <c r="M468" s="11">
        <f>K468-(H468*L468)</f>
        <v/>
      </c>
      <c r="N468" s="11">
        <f>H468*15</f>
        <v/>
      </c>
    </row>
    <row r="469">
      <c r="A469" t="inlineStr">
        <is>
          <t>LL-00468</t>
        </is>
      </c>
      <c r="B469" s="10" t="n">
        <v>46185</v>
      </c>
      <c r="C469" t="inlineStr">
        <is>
          <t>Jun</t>
        </is>
      </c>
      <c r="D469" t="inlineStr">
        <is>
          <t>East</t>
        </is>
      </c>
      <c r="E469" t="inlineStr">
        <is>
          <t>Retail</t>
        </is>
      </c>
      <c r="F469" t="inlineStr">
        <is>
          <t>Nest Basket</t>
        </is>
      </c>
      <c r="G469" t="inlineStr">
        <is>
          <t>Living</t>
        </is>
      </c>
      <c r="H469" t="n">
        <v>1</v>
      </c>
      <c r="I469" s="11" t="n">
        <v>55</v>
      </c>
      <c r="J469" s="12" t="n">
        <v>0.1</v>
      </c>
      <c r="K469" s="11">
        <f>H469*I469*(1-J469)</f>
        <v/>
      </c>
      <c r="L469" s="11" t="n">
        <v>24</v>
      </c>
      <c r="M469" s="11">
        <f>K469-(H469*L469)</f>
        <v/>
      </c>
      <c r="N469" s="11">
        <f>H469*6</f>
        <v/>
      </c>
    </row>
    <row r="470">
      <c r="A470" t="inlineStr">
        <is>
          <t>LL-00469</t>
        </is>
      </c>
      <c r="B470" s="10" t="n">
        <v>46248</v>
      </c>
      <c r="C470" t="inlineStr">
        <is>
          <t>Aug</t>
        </is>
      </c>
      <c r="D470" t="inlineStr">
        <is>
          <t>East</t>
        </is>
      </c>
      <c r="E470" t="inlineStr">
        <is>
          <t>Retail</t>
        </is>
      </c>
      <c r="F470" t="inlineStr">
        <is>
          <t>Focus Monitor Stand</t>
        </is>
      </c>
      <c r="G470" t="inlineStr">
        <is>
          <t>Workspace</t>
        </is>
      </c>
      <c r="H470" t="n">
        <v>5</v>
      </c>
      <c r="I470" s="11" t="n">
        <v>79</v>
      </c>
      <c r="J470" s="12" t="n">
        <v>0.15</v>
      </c>
      <c r="K470" s="11">
        <f>H470*I470*(1-J470)</f>
        <v/>
      </c>
      <c r="L470" s="11" t="n">
        <v>36</v>
      </c>
      <c r="M470" s="11">
        <f>K470-(H470*L470)</f>
        <v/>
      </c>
      <c r="N470" s="11">
        <f>H470*6</f>
        <v/>
      </c>
    </row>
    <row r="471">
      <c r="A471" t="inlineStr">
        <is>
          <t>LL-00470</t>
        </is>
      </c>
      <c r="B471" s="10" t="n">
        <v>46069</v>
      </c>
      <c r="C471" t="inlineStr">
        <is>
          <t>Feb</t>
        </is>
      </c>
      <c r="D471" t="inlineStr">
        <is>
          <t>East</t>
        </is>
      </c>
      <c r="E471" t="inlineStr">
        <is>
          <t>Marketplace</t>
        </is>
      </c>
      <c r="F471" t="inlineStr">
        <is>
          <t>Nest Basket</t>
        </is>
      </c>
      <c r="G471" t="inlineStr">
        <is>
          <t>Living</t>
        </is>
      </c>
      <c r="H471" t="n">
        <v>4</v>
      </c>
      <c r="I471" s="11" t="n">
        <v>55</v>
      </c>
      <c r="J471" s="12" t="n">
        <v>0.05</v>
      </c>
      <c r="K471" s="11">
        <f>H471*I471*(1-J471)</f>
        <v/>
      </c>
      <c r="L471" s="11" t="n">
        <v>24</v>
      </c>
      <c r="M471" s="11">
        <f>K471-(H471*L471)</f>
        <v/>
      </c>
      <c r="N471" s="11">
        <f>H471*15</f>
        <v/>
      </c>
    </row>
    <row r="472">
      <c r="A472" t="inlineStr">
        <is>
          <t>LL-00471</t>
        </is>
      </c>
      <c r="B472" s="10" t="n">
        <v>46109</v>
      </c>
      <c r="C472" t="inlineStr">
        <is>
          <t>Mar</t>
        </is>
      </c>
      <c r="D472" t="inlineStr">
        <is>
          <t>North</t>
        </is>
      </c>
      <c r="E472" t="inlineStr">
        <is>
          <t>Online</t>
        </is>
      </c>
      <c r="F472" t="inlineStr">
        <is>
          <t>Focus Monitor Stand</t>
        </is>
      </c>
      <c r="G472" t="inlineStr">
        <is>
          <t>Workspace</t>
        </is>
      </c>
      <c r="H472" t="n">
        <v>6</v>
      </c>
      <c r="I472" s="11" t="n">
        <v>79</v>
      </c>
      <c r="J472" s="12" t="n">
        <v>0.2</v>
      </c>
      <c r="K472" s="11">
        <f>H472*I472*(1-J472)</f>
        <v/>
      </c>
      <c r="L472" s="11" t="n">
        <v>36</v>
      </c>
      <c r="M472" s="11">
        <f>K472-(H472*L472)</f>
        <v/>
      </c>
      <c r="N472" s="11">
        <f>H472*11</f>
        <v/>
      </c>
    </row>
    <row r="473">
      <c r="A473" t="inlineStr">
        <is>
          <t>LL-00472</t>
        </is>
      </c>
      <c r="B473" s="10" t="n">
        <v>46032</v>
      </c>
      <c r="C473" t="inlineStr">
        <is>
          <t>Jan</t>
        </is>
      </c>
      <c r="D473" t="inlineStr">
        <is>
          <t>South</t>
        </is>
      </c>
      <c r="E473" t="inlineStr">
        <is>
          <t>Retail</t>
        </is>
      </c>
      <c r="F473" t="inlineStr">
        <is>
          <t>Luna Throw</t>
        </is>
      </c>
      <c r="G473" t="inlineStr">
        <is>
          <t>Living</t>
        </is>
      </c>
      <c r="H473" t="n">
        <v>6</v>
      </c>
      <c r="I473" s="11" t="n">
        <v>69</v>
      </c>
      <c r="J473" s="12" t="n">
        <v>0.05</v>
      </c>
      <c r="K473" s="11">
        <f>H473*I473*(1-J473)</f>
        <v/>
      </c>
      <c r="L473" s="11" t="n">
        <v>31</v>
      </c>
      <c r="M473" s="11">
        <f>K473-(H473*L473)</f>
        <v/>
      </c>
      <c r="N473" s="11">
        <f>H473*6</f>
        <v/>
      </c>
    </row>
    <row r="474">
      <c r="A474" t="inlineStr">
        <is>
          <t>LL-00473</t>
        </is>
      </c>
      <c r="B474" s="10" t="n">
        <v>46233</v>
      </c>
      <c r="C474" t="inlineStr">
        <is>
          <t>Jul</t>
        </is>
      </c>
      <c r="D474" t="inlineStr">
        <is>
          <t>North</t>
        </is>
      </c>
      <c r="E474" t="inlineStr">
        <is>
          <t>Marketplace</t>
        </is>
      </c>
      <c r="F474" t="inlineStr">
        <is>
          <t>Arc Side Table</t>
        </is>
      </c>
      <c r="G474" t="inlineStr">
        <is>
          <t>Living</t>
        </is>
      </c>
      <c r="H474" t="n">
        <v>8</v>
      </c>
      <c r="I474" s="11" t="n">
        <v>139</v>
      </c>
      <c r="J474" s="12" t="n">
        <v>0</v>
      </c>
      <c r="K474" s="11">
        <f>H474*I474*(1-J474)</f>
        <v/>
      </c>
      <c r="L474" s="11" t="n">
        <v>72</v>
      </c>
      <c r="M474" s="11">
        <f>K474-(H474*L474)</f>
        <v/>
      </c>
      <c r="N474" s="11">
        <f>H474*15</f>
        <v/>
      </c>
    </row>
    <row r="475">
      <c r="A475" t="inlineStr">
        <is>
          <t>LL-00474</t>
        </is>
      </c>
      <c r="B475" s="10" t="n">
        <v>46186</v>
      </c>
      <c r="C475" t="inlineStr">
        <is>
          <t>Jun</t>
        </is>
      </c>
      <c r="D475" t="inlineStr">
        <is>
          <t>West</t>
        </is>
      </c>
      <c r="E475" t="inlineStr">
        <is>
          <t>Marketplace</t>
        </is>
      </c>
      <c r="F475" t="inlineStr">
        <is>
          <t>Focus Monitor Stand</t>
        </is>
      </c>
      <c r="G475" t="inlineStr">
        <is>
          <t>Workspace</t>
        </is>
      </c>
      <c r="H475" t="n">
        <v>8</v>
      </c>
      <c r="I475" s="11" t="n">
        <v>79</v>
      </c>
      <c r="J475" s="12" t="n">
        <v>0.05</v>
      </c>
      <c r="K475" s="11">
        <f>H475*I475*(1-J475)</f>
        <v/>
      </c>
      <c r="L475" s="11" t="n">
        <v>36</v>
      </c>
      <c r="M475" s="11">
        <f>K475-(H475*L475)</f>
        <v/>
      </c>
      <c r="N475" s="11">
        <f>H475*15</f>
        <v/>
      </c>
    </row>
    <row r="476">
      <c r="A476" t="inlineStr">
        <is>
          <t>LL-00475</t>
        </is>
      </c>
      <c r="B476" s="10" t="n">
        <v>46070</v>
      </c>
      <c r="C476" t="inlineStr">
        <is>
          <t>Feb</t>
        </is>
      </c>
      <c r="D476" t="inlineStr">
        <is>
          <t>East</t>
        </is>
      </c>
      <c r="E476" t="inlineStr">
        <is>
          <t>Marketplace</t>
        </is>
      </c>
      <c r="F476" t="inlineStr">
        <is>
          <t>Aurora Desk Lamp</t>
        </is>
      </c>
      <c r="G476" t="inlineStr">
        <is>
          <t>Lighting</t>
        </is>
      </c>
      <c r="H476" t="n">
        <v>6</v>
      </c>
      <c r="I476" s="11" t="n">
        <v>89</v>
      </c>
      <c r="J476" s="12" t="n">
        <v>0.05</v>
      </c>
      <c r="K476" s="11">
        <f>H476*I476*(1-J476)</f>
        <v/>
      </c>
      <c r="L476" s="11" t="n">
        <v>42</v>
      </c>
      <c r="M476" s="11">
        <f>K476-(H476*L476)</f>
        <v/>
      </c>
      <c r="N476" s="11">
        <f>H476*15</f>
        <v/>
      </c>
    </row>
    <row r="477">
      <c r="A477" t="inlineStr">
        <is>
          <t>LL-00476</t>
        </is>
      </c>
      <c r="B477" s="10" t="n">
        <v>46371</v>
      </c>
      <c r="C477" t="inlineStr">
        <is>
          <t>Dec</t>
        </is>
      </c>
      <c r="D477" t="inlineStr">
        <is>
          <t>East</t>
        </is>
      </c>
      <c r="E477" t="inlineStr">
        <is>
          <t>Marketplace</t>
        </is>
      </c>
      <c r="F477" t="inlineStr">
        <is>
          <t>Arc Side Table</t>
        </is>
      </c>
      <c r="G477" t="inlineStr">
        <is>
          <t>Living</t>
        </is>
      </c>
      <c r="H477" t="n">
        <v>3</v>
      </c>
      <c r="I477" s="11" t="n">
        <v>139</v>
      </c>
      <c r="J477" s="12" t="n">
        <v>0.05</v>
      </c>
      <c r="K477" s="11">
        <f>H477*I477*(1-J477)</f>
        <v/>
      </c>
      <c r="L477" s="11" t="n">
        <v>72</v>
      </c>
      <c r="M477" s="11">
        <f>K477-(H477*L477)</f>
        <v/>
      </c>
      <c r="N477" s="11">
        <f>H477*15</f>
        <v/>
      </c>
    </row>
    <row r="478">
      <c r="A478" t="inlineStr">
        <is>
          <t>LL-00477</t>
        </is>
      </c>
      <c r="B478" s="10" t="n">
        <v>46098</v>
      </c>
      <c r="C478" t="inlineStr">
        <is>
          <t>Mar</t>
        </is>
      </c>
      <c r="D478" t="inlineStr">
        <is>
          <t>North</t>
        </is>
      </c>
      <c r="E478" t="inlineStr">
        <is>
          <t>Marketplace</t>
        </is>
      </c>
      <c r="F478" t="inlineStr">
        <is>
          <t>Halo Floor Lamp</t>
        </is>
      </c>
      <c r="G478" t="inlineStr">
        <is>
          <t>Lighting</t>
        </is>
      </c>
      <c r="H478" t="n">
        <v>7</v>
      </c>
      <c r="I478" s="11" t="n">
        <v>159</v>
      </c>
      <c r="J478" s="12" t="n">
        <v>0.1</v>
      </c>
      <c r="K478" s="11">
        <f>H478*I478*(1-J478)</f>
        <v/>
      </c>
      <c r="L478" s="11" t="n">
        <v>79</v>
      </c>
      <c r="M478" s="11">
        <f>K478-(H478*L478)</f>
        <v/>
      </c>
      <c r="N478" s="11">
        <f>H478*15</f>
        <v/>
      </c>
    </row>
    <row r="479">
      <c r="A479" t="inlineStr">
        <is>
          <t>LL-00478</t>
        </is>
      </c>
      <c r="B479" s="10" t="n">
        <v>46078</v>
      </c>
      <c r="C479" t="inlineStr">
        <is>
          <t>Feb</t>
        </is>
      </c>
      <c r="D479" t="inlineStr">
        <is>
          <t>West</t>
        </is>
      </c>
      <c r="E479" t="inlineStr">
        <is>
          <t>Online</t>
        </is>
      </c>
      <c r="F479" t="inlineStr">
        <is>
          <t>Luna Throw</t>
        </is>
      </c>
      <c r="G479" t="inlineStr">
        <is>
          <t>Living</t>
        </is>
      </c>
      <c r="H479" t="n">
        <v>7</v>
      </c>
      <c r="I479" s="11" t="n">
        <v>69</v>
      </c>
      <c r="J479" s="12" t="n">
        <v>0.1</v>
      </c>
      <c r="K479" s="11">
        <f>H479*I479*(1-J479)</f>
        <v/>
      </c>
      <c r="L479" s="11" t="n">
        <v>31</v>
      </c>
      <c r="M479" s="11">
        <f>K479-(H479*L479)</f>
        <v/>
      </c>
      <c r="N479" s="11">
        <f>H479*11</f>
        <v/>
      </c>
    </row>
    <row r="480">
      <c r="A480" t="inlineStr">
        <is>
          <t>LL-00479</t>
        </is>
      </c>
      <c r="B480" s="10" t="n">
        <v>46028</v>
      </c>
      <c r="C480" t="inlineStr">
        <is>
          <t>Jan</t>
        </is>
      </c>
      <c r="D480" t="inlineStr">
        <is>
          <t>South</t>
        </is>
      </c>
      <c r="E480" t="inlineStr">
        <is>
          <t>Retail</t>
        </is>
      </c>
      <c r="F480" t="inlineStr">
        <is>
          <t>Luna Throw</t>
        </is>
      </c>
      <c r="G480" t="inlineStr">
        <is>
          <t>Living</t>
        </is>
      </c>
      <c r="H480" t="n">
        <v>5</v>
      </c>
      <c r="I480" s="11" t="n">
        <v>69</v>
      </c>
      <c r="J480" s="12" t="n">
        <v>0.1</v>
      </c>
      <c r="K480" s="11">
        <f>H480*I480*(1-J480)</f>
        <v/>
      </c>
      <c r="L480" s="11" t="n">
        <v>31</v>
      </c>
      <c r="M480" s="11">
        <f>K480-(H480*L480)</f>
        <v/>
      </c>
      <c r="N480" s="11">
        <f>H480*6</f>
        <v/>
      </c>
    </row>
    <row r="481">
      <c r="A481" t="inlineStr">
        <is>
          <t>LL-00480</t>
        </is>
      </c>
      <c r="B481" s="10" t="n">
        <v>46043</v>
      </c>
      <c r="C481" t="inlineStr">
        <is>
          <t>Jan</t>
        </is>
      </c>
      <c r="D481" t="inlineStr">
        <is>
          <t>South</t>
        </is>
      </c>
      <c r="E481" t="inlineStr">
        <is>
          <t>Online</t>
        </is>
      </c>
      <c r="F481" t="inlineStr">
        <is>
          <t>Luna Throw</t>
        </is>
      </c>
      <c r="G481" t="inlineStr">
        <is>
          <t>Living</t>
        </is>
      </c>
      <c r="H481" t="n">
        <v>2</v>
      </c>
      <c r="I481" s="11" t="n">
        <v>69</v>
      </c>
      <c r="J481" s="12" t="n">
        <v>0.15</v>
      </c>
      <c r="K481" s="11">
        <f>H481*I481*(1-J481)</f>
        <v/>
      </c>
      <c r="L481" s="11" t="n">
        <v>31</v>
      </c>
      <c r="M481" s="11">
        <f>K481-(H481*L481)</f>
        <v/>
      </c>
      <c r="N481" s="11">
        <f>H481*11</f>
        <v/>
      </c>
    </row>
    <row r="482">
      <c r="A482" t="inlineStr">
        <is>
          <t>LL-00481</t>
        </is>
      </c>
      <c r="B482" s="10" t="n">
        <v>46197</v>
      </c>
      <c r="C482" t="inlineStr">
        <is>
          <t>Jun</t>
        </is>
      </c>
      <c r="D482" t="inlineStr">
        <is>
          <t>South</t>
        </is>
      </c>
      <c r="E482" t="inlineStr">
        <is>
          <t>Retail</t>
        </is>
      </c>
      <c r="F482" t="inlineStr">
        <is>
          <t>Luna Throw</t>
        </is>
      </c>
      <c r="G482" t="inlineStr">
        <is>
          <t>Living</t>
        </is>
      </c>
      <c r="H482" t="n">
        <v>1</v>
      </c>
      <c r="I482" s="11" t="n">
        <v>69</v>
      </c>
      <c r="J482" s="12" t="n">
        <v>0.1</v>
      </c>
      <c r="K482" s="11">
        <f>H482*I482*(1-J482)</f>
        <v/>
      </c>
      <c r="L482" s="11" t="n">
        <v>31</v>
      </c>
      <c r="M482" s="11">
        <f>K482-(H482*L482)</f>
        <v/>
      </c>
      <c r="N482" s="11">
        <f>H482*6</f>
        <v/>
      </c>
    </row>
    <row r="483">
      <c r="A483" t="inlineStr">
        <is>
          <t>LL-00482</t>
        </is>
      </c>
      <c r="B483" s="10" t="n">
        <v>46090</v>
      </c>
      <c r="C483" t="inlineStr">
        <is>
          <t>Mar</t>
        </is>
      </c>
      <c r="D483" t="inlineStr">
        <is>
          <t>West</t>
        </is>
      </c>
      <c r="E483" t="inlineStr">
        <is>
          <t>Retail</t>
        </is>
      </c>
      <c r="F483" t="inlineStr">
        <is>
          <t>Aurora Desk Lamp</t>
        </is>
      </c>
      <c r="G483" t="inlineStr">
        <is>
          <t>Lighting</t>
        </is>
      </c>
      <c r="H483" t="n">
        <v>8</v>
      </c>
      <c r="I483" s="11" t="n">
        <v>89</v>
      </c>
      <c r="J483" s="12" t="n">
        <v>0.2</v>
      </c>
      <c r="K483" s="11">
        <f>H483*I483*(1-J483)</f>
        <v/>
      </c>
      <c r="L483" s="11" t="n">
        <v>42</v>
      </c>
      <c r="M483" s="11">
        <f>K483-(H483*L483)</f>
        <v/>
      </c>
      <c r="N483" s="11">
        <f>H483*6</f>
        <v/>
      </c>
    </row>
    <row r="484">
      <c r="A484" t="inlineStr">
        <is>
          <t>LL-00483</t>
        </is>
      </c>
      <c r="B484" s="10" t="n">
        <v>46144</v>
      </c>
      <c r="C484" t="inlineStr">
        <is>
          <t>May</t>
        </is>
      </c>
      <c r="D484" t="inlineStr">
        <is>
          <t>North</t>
        </is>
      </c>
      <c r="E484" t="inlineStr">
        <is>
          <t>Marketplace</t>
        </is>
      </c>
      <c r="F484" t="inlineStr">
        <is>
          <t>Nest Basket</t>
        </is>
      </c>
      <c r="G484" t="inlineStr">
        <is>
          <t>Living</t>
        </is>
      </c>
      <c r="H484" t="n">
        <v>2</v>
      </c>
      <c r="I484" s="11" t="n">
        <v>55</v>
      </c>
      <c r="J484" s="12" t="n">
        <v>0.15</v>
      </c>
      <c r="K484" s="11">
        <f>H484*I484*(1-J484)</f>
        <v/>
      </c>
      <c r="L484" s="11" t="n">
        <v>24</v>
      </c>
      <c r="M484" s="11">
        <f>K484-(H484*L484)</f>
        <v/>
      </c>
      <c r="N484" s="11">
        <f>H484*15</f>
        <v/>
      </c>
    </row>
    <row r="485">
      <c r="A485" t="inlineStr">
        <is>
          <t>LL-00484</t>
        </is>
      </c>
      <c r="B485" s="10" t="n">
        <v>46104</v>
      </c>
      <c r="C485" t="inlineStr">
        <is>
          <t>Mar</t>
        </is>
      </c>
      <c r="D485" t="inlineStr">
        <is>
          <t>East</t>
        </is>
      </c>
      <c r="E485" t="inlineStr">
        <is>
          <t>Marketplace</t>
        </is>
      </c>
      <c r="F485" t="inlineStr">
        <is>
          <t>Aurora Desk Lamp</t>
        </is>
      </c>
      <c r="G485" t="inlineStr">
        <is>
          <t>Lighting</t>
        </is>
      </c>
      <c r="H485" t="n">
        <v>8</v>
      </c>
      <c r="I485" s="11" t="n">
        <v>89</v>
      </c>
      <c r="J485" s="12" t="n">
        <v>0.1</v>
      </c>
      <c r="K485" s="11">
        <f>H485*I485*(1-J485)</f>
        <v/>
      </c>
      <c r="L485" s="11" t="n">
        <v>42</v>
      </c>
      <c r="M485" s="11">
        <f>K485-(H485*L485)</f>
        <v/>
      </c>
      <c r="N485" s="11">
        <f>H485*15</f>
        <v/>
      </c>
    </row>
    <row r="486">
      <c r="A486" t="inlineStr">
        <is>
          <t>LL-00485</t>
        </is>
      </c>
      <c r="B486" s="10" t="n">
        <v>46097</v>
      </c>
      <c r="C486" t="inlineStr">
        <is>
          <t>Mar</t>
        </is>
      </c>
      <c r="D486" t="inlineStr">
        <is>
          <t>South</t>
        </is>
      </c>
      <c r="E486" t="inlineStr">
        <is>
          <t>Online</t>
        </is>
      </c>
      <c r="F486" t="inlineStr">
        <is>
          <t>Luna Throw</t>
        </is>
      </c>
      <c r="G486" t="inlineStr">
        <is>
          <t>Living</t>
        </is>
      </c>
      <c r="H486" t="n">
        <v>8</v>
      </c>
      <c r="I486" s="11" t="n">
        <v>69</v>
      </c>
      <c r="J486" s="12" t="n">
        <v>0.15</v>
      </c>
      <c r="K486" s="11">
        <f>H486*I486*(1-J486)</f>
        <v/>
      </c>
      <c r="L486" s="11" t="n">
        <v>31</v>
      </c>
      <c r="M486" s="11">
        <f>K486-(H486*L486)</f>
        <v/>
      </c>
      <c r="N486" s="11">
        <f>H486*11</f>
        <v/>
      </c>
    </row>
    <row r="487">
      <c r="A487" t="inlineStr">
        <is>
          <t>LL-00486</t>
        </is>
      </c>
      <c r="B487" s="10" t="n">
        <v>46366</v>
      </c>
      <c r="C487" t="inlineStr">
        <is>
          <t>Dec</t>
        </is>
      </c>
      <c r="D487" t="inlineStr">
        <is>
          <t>South</t>
        </is>
      </c>
      <c r="E487" t="inlineStr">
        <is>
          <t>Marketplace</t>
        </is>
      </c>
      <c r="F487" t="inlineStr">
        <is>
          <t>Nest Basket</t>
        </is>
      </c>
      <c r="G487" t="inlineStr">
        <is>
          <t>Living</t>
        </is>
      </c>
      <c r="H487" t="n">
        <v>1</v>
      </c>
      <c r="I487" s="11" t="n">
        <v>55</v>
      </c>
      <c r="J487" s="12" t="n">
        <v>0.05</v>
      </c>
      <c r="K487" s="11">
        <f>H487*I487*(1-J487)</f>
        <v/>
      </c>
      <c r="L487" s="11" t="n">
        <v>24</v>
      </c>
      <c r="M487" s="11">
        <f>K487-(H487*L487)</f>
        <v/>
      </c>
      <c r="N487" s="11">
        <f>H487*15</f>
        <v/>
      </c>
    </row>
    <row r="488">
      <c r="A488" t="inlineStr">
        <is>
          <t>LL-00487</t>
        </is>
      </c>
      <c r="B488" s="10" t="n">
        <v>46073</v>
      </c>
      <c r="C488" t="inlineStr">
        <is>
          <t>Feb</t>
        </is>
      </c>
      <c r="D488" t="inlineStr">
        <is>
          <t>West</t>
        </is>
      </c>
      <c r="E488" t="inlineStr">
        <is>
          <t>Online</t>
        </is>
      </c>
      <c r="F488" t="inlineStr">
        <is>
          <t>Aurora Desk Lamp</t>
        </is>
      </c>
      <c r="G488" t="inlineStr">
        <is>
          <t>Lighting</t>
        </is>
      </c>
      <c r="H488" t="n">
        <v>7</v>
      </c>
      <c r="I488" s="11" t="n">
        <v>89</v>
      </c>
      <c r="J488" s="12" t="n">
        <v>0.05</v>
      </c>
      <c r="K488" s="11">
        <f>H488*I488*(1-J488)</f>
        <v/>
      </c>
      <c r="L488" s="11" t="n">
        <v>42</v>
      </c>
      <c r="M488" s="11">
        <f>K488-(H488*L488)</f>
        <v/>
      </c>
      <c r="N488" s="11">
        <f>H488*11</f>
        <v/>
      </c>
    </row>
    <row r="489">
      <c r="A489" t="inlineStr">
        <is>
          <t>LL-00488</t>
        </is>
      </c>
      <c r="B489" s="10" t="n">
        <v>46369</v>
      </c>
      <c r="C489" t="inlineStr">
        <is>
          <t>Dec</t>
        </is>
      </c>
      <c r="D489" t="inlineStr">
        <is>
          <t>East</t>
        </is>
      </c>
      <c r="E489" t="inlineStr">
        <is>
          <t>Marketplace</t>
        </is>
      </c>
      <c r="F489" t="inlineStr">
        <is>
          <t>Luna Throw</t>
        </is>
      </c>
      <c r="G489" t="inlineStr">
        <is>
          <t>Living</t>
        </is>
      </c>
      <c r="H489" t="n">
        <v>3</v>
      </c>
      <c r="I489" s="11" t="n">
        <v>69</v>
      </c>
      <c r="J489" s="12" t="n">
        <v>0.15</v>
      </c>
      <c r="K489" s="11">
        <f>H489*I489*(1-J489)</f>
        <v/>
      </c>
      <c r="L489" s="11" t="n">
        <v>31</v>
      </c>
      <c r="M489" s="11">
        <f>K489-(H489*L489)</f>
        <v/>
      </c>
      <c r="N489" s="11">
        <f>H489*15</f>
        <v/>
      </c>
    </row>
    <row r="490">
      <c r="A490" t="inlineStr">
        <is>
          <t>LL-00489</t>
        </is>
      </c>
      <c r="B490" s="10" t="n">
        <v>46141</v>
      </c>
      <c r="C490" t="inlineStr">
        <is>
          <t>Apr</t>
        </is>
      </c>
      <c r="D490" t="inlineStr">
        <is>
          <t>East</t>
        </is>
      </c>
      <c r="E490" t="inlineStr">
        <is>
          <t>Retail</t>
        </is>
      </c>
      <c r="F490" t="inlineStr">
        <is>
          <t>Luna Throw</t>
        </is>
      </c>
      <c r="G490" t="inlineStr">
        <is>
          <t>Living</t>
        </is>
      </c>
      <c r="H490" t="n">
        <v>3</v>
      </c>
      <c r="I490" s="11" t="n">
        <v>69</v>
      </c>
      <c r="J490" s="12" t="n">
        <v>0.1</v>
      </c>
      <c r="K490" s="11">
        <f>H490*I490*(1-J490)</f>
        <v/>
      </c>
      <c r="L490" s="11" t="n">
        <v>31</v>
      </c>
      <c r="M490" s="11">
        <f>K490-(H490*L490)</f>
        <v/>
      </c>
      <c r="N490" s="11">
        <f>H490*6</f>
        <v/>
      </c>
    </row>
    <row r="491">
      <c r="A491" t="inlineStr">
        <is>
          <t>LL-00490</t>
        </is>
      </c>
      <c r="B491" s="10" t="n">
        <v>46112</v>
      </c>
      <c r="C491" t="inlineStr">
        <is>
          <t>Mar</t>
        </is>
      </c>
      <c r="D491" t="inlineStr">
        <is>
          <t>North</t>
        </is>
      </c>
      <c r="E491" t="inlineStr">
        <is>
          <t>Marketplace</t>
        </is>
      </c>
      <c r="F491" t="inlineStr">
        <is>
          <t>Aurora Desk Lamp</t>
        </is>
      </c>
      <c r="G491" t="inlineStr">
        <is>
          <t>Lighting</t>
        </is>
      </c>
      <c r="H491" t="n">
        <v>1</v>
      </c>
      <c r="I491" s="11" t="n">
        <v>89</v>
      </c>
      <c r="J491" s="12" t="n">
        <v>0.05</v>
      </c>
      <c r="K491" s="11">
        <f>H491*I491*(1-J491)</f>
        <v/>
      </c>
      <c r="L491" s="11" t="n">
        <v>42</v>
      </c>
      <c r="M491" s="11">
        <f>K491-(H491*L491)</f>
        <v/>
      </c>
      <c r="N491" s="11">
        <f>H491*15</f>
        <v/>
      </c>
    </row>
    <row r="492">
      <c r="A492" t="inlineStr">
        <is>
          <t>LL-00491</t>
        </is>
      </c>
      <c r="B492" s="10" t="n">
        <v>46287</v>
      </c>
      <c r="C492" t="inlineStr">
        <is>
          <t>Sep</t>
        </is>
      </c>
      <c r="D492" t="inlineStr">
        <is>
          <t>West</t>
        </is>
      </c>
      <c r="E492" t="inlineStr">
        <is>
          <t>Online</t>
        </is>
      </c>
      <c r="F492" t="inlineStr">
        <is>
          <t>Luna Throw</t>
        </is>
      </c>
      <c r="G492" t="inlineStr">
        <is>
          <t>Living</t>
        </is>
      </c>
      <c r="H492" t="n">
        <v>6</v>
      </c>
      <c r="I492" s="11" t="n">
        <v>69</v>
      </c>
      <c r="J492" s="12" t="n">
        <v>0.1</v>
      </c>
      <c r="K492" s="11">
        <f>H492*I492*(1-J492)</f>
        <v/>
      </c>
      <c r="L492" s="11" t="n">
        <v>31</v>
      </c>
      <c r="M492" s="11">
        <f>K492-(H492*L492)</f>
        <v/>
      </c>
      <c r="N492" s="11">
        <f>H492*11</f>
        <v/>
      </c>
    </row>
    <row r="493">
      <c r="A493" t="inlineStr">
        <is>
          <t>LL-00492</t>
        </is>
      </c>
      <c r="B493" s="10" t="n">
        <v>46117</v>
      </c>
      <c r="C493" t="inlineStr">
        <is>
          <t>Apr</t>
        </is>
      </c>
      <c r="D493" t="inlineStr">
        <is>
          <t>North</t>
        </is>
      </c>
      <c r="E493" t="inlineStr">
        <is>
          <t>Retail</t>
        </is>
      </c>
      <c r="F493" t="inlineStr">
        <is>
          <t>Nest Basket</t>
        </is>
      </c>
      <c r="G493" t="inlineStr">
        <is>
          <t>Living</t>
        </is>
      </c>
      <c r="H493" t="n">
        <v>8</v>
      </c>
      <c r="I493" s="11" t="n">
        <v>55</v>
      </c>
      <c r="J493" s="12" t="n">
        <v>0.15</v>
      </c>
      <c r="K493" s="11">
        <f>H493*I493*(1-J493)</f>
        <v/>
      </c>
      <c r="L493" s="11" t="n">
        <v>24</v>
      </c>
      <c r="M493" s="11">
        <f>K493-(H493*L493)</f>
        <v/>
      </c>
      <c r="N493" s="11">
        <f>H493*6</f>
        <v/>
      </c>
    </row>
    <row r="494">
      <c r="A494" t="inlineStr">
        <is>
          <t>LL-00493</t>
        </is>
      </c>
      <c r="B494" s="10" t="n">
        <v>46187</v>
      </c>
      <c r="C494" t="inlineStr">
        <is>
          <t>Jun</t>
        </is>
      </c>
      <c r="D494" t="inlineStr">
        <is>
          <t>West</t>
        </is>
      </c>
      <c r="E494" t="inlineStr">
        <is>
          <t>Retail</t>
        </is>
      </c>
      <c r="F494" t="inlineStr">
        <is>
          <t>Nest Basket</t>
        </is>
      </c>
      <c r="G494" t="inlineStr">
        <is>
          <t>Living</t>
        </is>
      </c>
      <c r="H494" t="n">
        <v>7</v>
      </c>
      <c r="I494" s="11" t="n">
        <v>55</v>
      </c>
      <c r="J494" s="12" t="n">
        <v>0.15</v>
      </c>
      <c r="K494" s="11">
        <f>H494*I494*(1-J494)</f>
        <v/>
      </c>
      <c r="L494" s="11" t="n">
        <v>24</v>
      </c>
      <c r="M494" s="11">
        <f>K494-(H494*L494)</f>
        <v/>
      </c>
      <c r="N494" s="11">
        <f>H494*6</f>
        <v/>
      </c>
    </row>
    <row r="495">
      <c r="A495" t="inlineStr">
        <is>
          <t>LL-00494</t>
        </is>
      </c>
      <c r="B495" s="10" t="n">
        <v>46145</v>
      </c>
      <c r="C495" t="inlineStr">
        <is>
          <t>May</t>
        </is>
      </c>
      <c r="D495" t="inlineStr">
        <is>
          <t>South</t>
        </is>
      </c>
      <c r="E495" t="inlineStr">
        <is>
          <t>Online</t>
        </is>
      </c>
      <c r="F495" t="inlineStr">
        <is>
          <t>Arc Side Table</t>
        </is>
      </c>
      <c r="G495" t="inlineStr">
        <is>
          <t>Living</t>
        </is>
      </c>
      <c r="H495" t="n">
        <v>6</v>
      </c>
      <c r="I495" s="11" t="n">
        <v>139</v>
      </c>
      <c r="J495" s="12" t="n">
        <v>0.2</v>
      </c>
      <c r="K495" s="11">
        <f>H495*I495*(1-J495)</f>
        <v/>
      </c>
      <c r="L495" s="11" t="n">
        <v>72</v>
      </c>
      <c r="M495" s="11">
        <f>K495-(H495*L495)</f>
        <v/>
      </c>
      <c r="N495" s="11">
        <f>H495*11</f>
        <v/>
      </c>
    </row>
    <row r="496">
      <c r="A496" t="inlineStr">
        <is>
          <t>LL-00495</t>
        </is>
      </c>
      <c r="B496" s="10" t="n">
        <v>46229</v>
      </c>
      <c r="C496" t="inlineStr">
        <is>
          <t>Jul</t>
        </is>
      </c>
      <c r="D496" t="inlineStr">
        <is>
          <t>East</t>
        </is>
      </c>
      <c r="E496" t="inlineStr">
        <is>
          <t>Retail</t>
        </is>
      </c>
      <c r="F496" t="inlineStr">
        <is>
          <t>Luna Throw</t>
        </is>
      </c>
      <c r="G496" t="inlineStr">
        <is>
          <t>Living</t>
        </is>
      </c>
      <c r="H496" t="n">
        <v>7</v>
      </c>
      <c r="I496" s="11" t="n">
        <v>69</v>
      </c>
      <c r="J496" s="12" t="n">
        <v>0</v>
      </c>
      <c r="K496" s="11">
        <f>H496*I496*(1-J496)</f>
        <v/>
      </c>
      <c r="L496" s="11" t="n">
        <v>31</v>
      </c>
      <c r="M496" s="11">
        <f>K496-(H496*L496)</f>
        <v/>
      </c>
      <c r="N496" s="11">
        <f>H496*6</f>
        <v/>
      </c>
    </row>
    <row r="497">
      <c r="A497" t="inlineStr">
        <is>
          <t>LL-00496</t>
        </is>
      </c>
      <c r="B497" s="10" t="n">
        <v>46260</v>
      </c>
      <c r="C497" t="inlineStr">
        <is>
          <t>Aug</t>
        </is>
      </c>
      <c r="D497" t="inlineStr">
        <is>
          <t>South</t>
        </is>
      </c>
      <c r="E497" t="inlineStr">
        <is>
          <t>Marketplace</t>
        </is>
      </c>
      <c r="F497" t="inlineStr">
        <is>
          <t>Nest Basket</t>
        </is>
      </c>
      <c r="G497" t="inlineStr">
        <is>
          <t>Living</t>
        </is>
      </c>
      <c r="H497" t="n">
        <v>4</v>
      </c>
      <c r="I497" s="11" t="n">
        <v>55</v>
      </c>
      <c r="J497" s="12" t="n">
        <v>0.2</v>
      </c>
      <c r="K497" s="11">
        <f>H497*I497*(1-J497)</f>
        <v/>
      </c>
      <c r="L497" s="11" t="n">
        <v>24</v>
      </c>
      <c r="M497" s="11">
        <f>K497-(H497*L497)</f>
        <v/>
      </c>
      <c r="N497" s="11">
        <f>H497*15</f>
        <v/>
      </c>
    </row>
    <row r="498">
      <c r="A498" t="inlineStr">
        <is>
          <t>LL-00497</t>
        </is>
      </c>
      <c r="B498" s="10" t="n">
        <v>46243</v>
      </c>
      <c r="C498" t="inlineStr">
        <is>
          <t>Aug</t>
        </is>
      </c>
      <c r="D498" t="inlineStr">
        <is>
          <t>North</t>
        </is>
      </c>
      <c r="E498" t="inlineStr">
        <is>
          <t>Retail</t>
        </is>
      </c>
      <c r="F498" t="inlineStr">
        <is>
          <t>Arc Side Table</t>
        </is>
      </c>
      <c r="G498" t="inlineStr">
        <is>
          <t>Living</t>
        </is>
      </c>
      <c r="H498" t="n">
        <v>2</v>
      </c>
      <c r="I498" s="11" t="n">
        <v>139</v>
      </c>
      <c r="J498" s="12" t="n">
        <v>0.05</v>
      </c>
      <c r="K498" s="11">
        <f>H498*I498*(1-J498)</f>
        <v/>
      </c>
      <c r="L498" s="11" t="n">
        <v>72</v>
      </c>
      <c r="M498" s="11">
        <f>K498-(H498*L498)</f>
        <v/>
      </c>
      <c r="N498" s="11">
        <f>H498*6</f>
        <v/>
      </c>
    </row>
    <row r="499">
      <c r="A499" t="inlineStr">
        <is>
          <t>LL-00498</t>
        </is>
      </c>
      <c r="B499" s="10" t="n">
        <v>46110</v>
      </c>
      <c r="C499" t="inlineStr">
        <is>
          <t>Mar</t>
        </is>
      </c>
      <c r="D499" t="inlineStr">
        <is>
          <t>East</t>
        </is>
      </c>
      <c r="E499" t="inlineStr">
        <is>
          <t>Online</t>
        </is>
      </c>
      <c r="F499" t="inlineStr">
        <is>
          <t>Focus Monitor Stand</t>
        </is>
      </c>
      <c r="G499" t="inlineStr">
        <is>
          <t>Workspace</t>
        </is>
      </c>
      <c r="H499" t="n">
        <v>6</v>
      </c>
      <c r="I499" s="11" t="n">
        <v>79</v>
      </c>
      <c r="J499" s="12" t="n">
        <v>0.05</v>
      </c>
      <c r="K499" s="11">
        <f>H499*I499*(1-J499)</f>
        <v/>
      </c>
      <c r="L499" s="11" t="n">
        <v>36</v>
      </c>
      <c r="M499" s="11">
        <f>K499-(H499*L499)</f>
        <v/>
      </c>
      <c r="N499" s="11">
        <f>H499*11</f>
        <v/>
      </c>
    </row>
    <row r="500">
      <c r="A500" t="inlineStr">
        <is>
          <t>LL-00499</t>
        </is>
      </c>
      <c r="B500" s="10" t="n">
        <v>46211</v>
      </c>
      <c r="C500" t="inlineStr">
        <is>
          <t>Jul</t>
        </is>
      </c>
      <c r="D500" t="inlineStr">
        <is>
          <t>East</t>
        </is>
      </c>
      <c r="E500" t="inlineStr">
        <is>
          <t>Retail</t>
        </is>
      </c>
      <c r="F500" t="inlineStr">
        <is>
          <t>Nest Basket</t>
        </is>
      </c>
      <c r="G500" t="inlineStr">
        <is>
          <t>Living</t>
        </is>
      </c>
      <c r="H500" t="n">
        <v>8</v>
      </c>
      <c r="I500" s="11" t="n">
        <v>55</v>
      </c>
      <c r="J500" s="12" t="n">
        <v>0.1</v>
      </c>
      <c r="K500" s="11">
        <f>H500*I500*(1-J500)</f>
        <v/>
      </c>
      <c r="L500" s="11" t="n">
        <v>24</v>
      </c>
      <c r="M500" s="11">
        <f>K500-(H500*L500)</f>
        <v/>
      </c>
      <c r="N500" s="11">
        <f>H500*6</f>
        <v/>
      </c>
    </row>
    <row r="501">
      <c r="A501" t="inlineStr">
        <is>
          <t>LL-00500</t>
        </is>
      </c>
      <c r="B501" s="10" t="n">
        <v>46192</v>
      </c>
      <c r="C501" t="inlineStr">
        <is>
          <t>Jun</t>
        </is>
      </c>
      <c r="D501" t="inlineStr">
        <is>
          <t>West</t>
        </is>
      </c>
      <c r="E501" t="inlineStr">
        <is>
          <t>Retail</t>
        </is>
      </c>
      <c r="F501" t="inlineStr">
        <is>
          <t>Nest Basket</t>
        </is>
      </c>
      <c r="G501" t="inlineStr">
        <is>
          <t>Living</t>
        </is>
      </c>
      <c r="H501" t="n">
        <v>7</v>
      </c>
      <c r="I501" s="11" t="n">
        <v>55</v>
      </c>
      <c r="J501" s="12" t="n">
        <v>0.1</v>
      </c>
      <c r="K501" s="11">
        <f>H501*I501*(1-J501)</f>
        <v/>
      </c>
      <c r="L501" s="11" t="n">
        <v>24</v>
      </c>
      <c r="M501" s="11">
        <f>K501-(H501*L501)</f>
        <v/>
      </c>
      <c r="N501" s="11">
        <f>H501*6</f>
        <v/>
      </c>
    </row>
    <row r="502">
      <c r="A502" t="inlineStr">
        <is>
          <t>LL-00501</t>
        </is>
      </c>
      <c r="B502" s="10" t="n">
        <v>46333</v>
      </c>
      <c r="C502" t="inlineStr">
        <is>
          <t>Nov</t>
        </is>
      </c>
      <c r="D502" t="inlineStr">
        <is>
          <t>North</t>
        </is>
      </c>
      <c r="E502" t="inlineStr">
        <is>
          <t>Marketplace</t>
        </is>
      </c>
      <c r="F502" t="inlineStr">
        <is>
          <t>Nest Basket</t>
        </is>
      </c>
      <c r="G502" t="inlineStr">
        <is>
          <t>Living</t>
        </is>
      </c>
      <c r="H502" t="n">
        <v>6</v>
      </c>
      <c r="I502" s="11" t="n">
        <v>55</v>
      </c>
      <c r="J502" s="12" t="n">
        <v>0.05</v>
      </c>
      <c r="K502" s="11">
        <f>H502*I502*(1-J502)</f>
        <v/>
      </c>
      <c r="L502" s="11" t="n">
        <v>24</v>
      </c>
      <c r="M502" s="11">
        <f>K502-(H502*L502)</f>
        <v/>
      </c>
      <c r="N502" s="11">
        <f>H502*15</f>
        <v/>
      </c>
    </row>
    <row r="503">
      <c r="A503" t="inlineStr">
        <is>
          <t>LL-00502</t>
        </is>
      </c>
      <c r="B503" s="10" t="n">
        <v>46294</v>
      </c>
      <c r="C503" t="inlineStr">
        <is>
          <t>Sep</t>
        </is>
      </c>
      <c r="D503" t="inlineStr">
        <is>
          <t>East</t>
        </is>
      </c>
      <c r="E503" t="inlineStr">
        <is>
          <t>Retail</t>
        </is>
      </c>
      <c r="F503" t="inlineStr">
        <is>
          <t>Halo Floor Lamp</t>
        </is>
      </c>
      <c r="G503" t="inlineStr">
        <is>
          <t>Lighting</t>
        </is>
      </c>
      <c r="H503" t="n">
        <v>6</v>
      </c>
      <c r="I503" s="11" t="n">
        <v>159</v>
      </c>
      <c r="J503" s="12" t="n">
        <v>0.15</v>
      </c>
      <c r="K503" s="11">
        <f>H503*I503*(1-J503)</f>
        <v/>
      </c>
      <c r="L503" s="11" t="n">
        <v>79</v>
      </c>
      <c r="M503" s="11">
        <f>K503-(H503*L503)</f>
        <v/>
      </c>
      <c r="N503" s="11">
        <f>H503*6</f>
        <v/>
      </c>
    </row>
    <row r="504">
      <c r="A504" t="inlineStr">
        <is>
          <t>LL-00503</t>
        </is>
      </c>
      <c r="B504" s="10" t="n">
        <v>46197</v>
      </c>
      <c r="C504" t="inlineStr">
        <is>
          <t>Jun</t>
        </is>
      </c>
      <c r="D504" t="inlineStr">
        <is>
          <t>West</t>
        </is>
      </c>
      <c r="E504" t="inlineStr">
        <is>
          <t>Online</t>
        </is>
      </c>
      <c r="F504" t="inlineStr">
        <is>
          <t>Aurora Desk Lamp</t>
        </is>
      </c>
      <c r="G504" t="inlineStr">
        <is>
          <t>Lighting</t>
        </is>
      </c>
      <c r="H504" t="n">
        <v>4</v>
      </c>
      <c r="I504" s="11" t="n">
        <v>89</v>
      </c>
      <c r="J504" s="12" t="n">
        <v>0</v>
      </c>
      <c r="K504" s="11">
        <f>H504*I504*(1-J504)</f>
        <v/>
      </c>
      <c r="L504" s="11" t="n">
        <v>42</v>
      </c>
      <c r="M504" s="11">
        <f>K504-(H504*L504)</f>
        <v/>
      </c>
      <c r="N504" s="11">
        <f>H504*11</f>
        <v/>
      </c>
    </row>
    <row r="505">
      <c r="A505" t="inlineStr">
        <is>
          <t>LL-00504</t>
        </is>
      </c>
      <c r="B505" s="10" t="n">
        <v>46032</v>
      </c>
      <c r="C505" t="inlineStr">
        <is>
          <t>Jan</t>
        </is>
      </c>
      <c r="D505" t="inlineStr">
        <is>
          <t>East</t>
        </is>
      </c>
      <c r="E505" t="inlineStr">
        <is>
          <t>Online</t>
        </is>
      </c>
      <c r="F505" t="inlineStr">
        <is>
          <t>Focus Monitor Stand</t>
        </is>
      </c>
      <c r="G505" t="inlineStr">
        <is>
          <t>Workspace</t>
        </is>
      </c>
      <c r="H505" t="n">
        <v>1</v>
      </c>
      <c r="I505" s="11" t="n">
        <v>79</v>
      </c>
      <c r="J505" s="12" t="n">
        <v>0.15</v>
      </c>
      <c r="K505" s="11">
        <f>H505*I505*(1-J505)</f>
        <v/>
      </c>
      <c r="L505" s="11" t="n">
        <v>36</v>
      </c>
      <c r="M505" s="11">
        <f>K505-(H505*L505)</f>
        <v/>
      </c>
      <c r="N505" s="11">
        <f>H505*11</f>
        <v/>
      </c>
    </row>
    <row r="506">
      <c r="A506" t="inlineStr">
        <is>
          <t>LL-00505</t>
        </is>
      </c>
      <c r="B506" s="10" t="n">
        <v>46240</v>
      </c>
      <c r="C506" t="inlineStr">
        <is>
          <t>Aug</t>
        </is>
      </c>
      <c r="D506" t="inlineStr">
        <is>
          <t>North</t>
        </is>
      </c>
      <c r="E506" t="inlineStr">
        <is>
          <t>Marketplace</t>
        </is>
      </c>
      <c r="F506" t="inlineStr">
        <is>
          <t>Halo Floor Lamp</t>
        </is>
      </c>
      <c r="G506" t="inlineStr">
        <is>
          <t>Lighting</t>
        </is>
      </c>
      <c r="H506" t="n">
        <v>4</v>
      </c>
      <c r="I506" s="11" t="n">
        <v>159</v>
      </c>
      <c r="J506" s="12" t="n">
        <v>0.1</v>
      </c>
      <c r="K506" s="11">
        <f>H506*I506*(1-J506)</f>
        <v/>
      </c>
      <c r="L506" s="11" t="n">
        <v>79</v>
      </c>
      <c r="M506" s="11">
        <f>K506-(H506*L506)</f>
        <v/>
      </c>
      <c r="N506" s="11">
        <f>H506*15</f>
        <v/>
      </c>
    </row>
    <row r="507">
      <c r="A507" t="inlineStr">
        <is>
          <t>LL-00506</t>
        </is>
      </c>
      <c r="B507" s="10" t="n">
        <v>46299</v>
      </c>
      <c r="C507" t="inlineStr">
        <is>
          <t>Oct</t>
        </is>
      </c>
      <c r="D507" t="inlineStr">
        <is>
          <t>West</t>
        </is>
      </c>
      <c r="E507" t="inlineStr">
        <is>
          <t>Online</t>
        </is>
      </c>
      <c r="F507" t="inlineStr">
        <is>
          <t>Nest Basket</t>
        </is>
      </c>
      <c r="G507" t="inlineStr">
        <is>
          <t>Living</t>
        </is>
      </c>
      <c r="H507" t="n">
        <v>2</v>
      </c>
      <c r="I507" s="11" t="n">
        <v>55</v>
      </c>
      <c r="J507" s="12" t="n">
        <v>0.15</v>
      </c>
      <c r="K507" s="11">
        <f>H507*I507*(1-J507)</f>
        <v/>
      </c>
      <c r="L507" s="11" t="n">
        <v>24</v>
      </c>
      <c r="M507" s="11">
        <f>K507-(H507*L507)</f>
        <v/>
      </c>
      <c r="N507" s="11">
        <f>H507*11</f>
        <v/>
      </c>
    </row>
    <row r="508">
      <c r="A508" t="inlineStr">
        <is>
          <t>LL-00507</t>
        </is>
      </c>
      <c r="B508" s="10" t="n">
        <v>46058</v>
      </c>
      <c r="C508" t="inlineStr">
        <is>
          <t>Feb</t>
        </is>
      </c>
      <c r="D508" t="inlineStr">
        <is>
          <t>South</t>
        </is>
      </c>
      <c r="E508" t="inlineStr">
        <is>
          <t>Online</t>
        </is>
      </c>
      <c r="F508" t="inlineStr">
        <is>
          <t>Luna Throw</t>
        </is>
      </c>
      <c r="G508" t="inlineStr">
        <is>
          <t>Living</t>
        </is>
      </c>
      <c r="H508" t="n">
        <v>6</v>
      </c>
      <c r="I508" s="11" t="n">
        <v>69</v>
      </c>
      <c r="J508" s="12" t="n">
        <v>0.1</v>
      </c>
      <c r="K508" s="11">
        <f>H508*I508*(1-J508)</f>
        <v/>
      </c>
      <c r="L508" s="11" t="n">
        <v>31</v>
      </c>
      <c r="M508" s="11">
        <f>K508-(H508*L508)</f>
        <v/>
      </c>
      <c r="N508" s="11">
        <f>H508*11</f>
        <v/>
      </c>
    </row>
    <row r="509">
      <c r="A509" t="inlineStr">
        <is>
          <t>LL-00508</t>
        </is>
      </c>
      <c r="B509" s="10" t="n">
        <v>46301</v>
      </c>
      <c r="C509" t="inlineStr">
        <is>
          <t>Oct</t>
        </is>
      </c>
      <c r="D509" t="inlineStr">
        <is>
          <t>North</t>
        </is>
      </c>
      <c r="E509" t="inlineStr">
        <is>
          <t>Retail</t>
        </is>
      </c>
      <c r="F509" t="inlineStr">
        <is>
          <t>Aurora Desk Lamp</t>
        </is>
      </c>
      <c r="G509" t="inlineStr">
        <is>
          <t>Lighting</t>
        </is>
      </c>
      <c r="H509" t="n">
        <v>2</v>
      </c>
      <c r="I509" s="11" t="n">
        <v>89</v>
      </c>
      <c r="J509" s="12" t="n">
        <v>0</v>
      </c>
      <c r="K509" s="11">
        <f>H509*I509*(1-J509)</f>
        <v/>
      </c>
      <c r="L509" s="11" t="n">
        <v>42</v>
      </c>
      <c r="M509" s="11">
        <f>K509-(H509*L509)</f>
        <v/>
      </c>
      <c r="N509" s="11">
        <f>H509*6</f>
        <v/>
      </c>
    </row>
    <row r="510">
      <c r="A510" t="inlineStr">
        <is>
          <t>LL-00509</t>
        </is>
      </c>
      <c r="B510" s="10" t="n">
        <v>46093</v>
      </c>
      <c r="C510" t="inlineStr">
        <is>
          <t>Mar</t>
        </is>
      </c>
      <c r="D510" t="inlineStr">
        <is>
          <t>South</t>
        </is>
      </c>
      <c r="E510" t="inlineStr">
        <is>
          <t>Retail</t>
        </is>
      </c>
      <c r="F510" t="inlineStr">
        <is>
          <t>Focus Monitor Stand</t>
        </is>
      </c>
      <c r="G510" t="inlineStr">
        <is>
          <t>Workspace</t>
        </is>
      </c>
      <c r="H510" t="n">
        <v>5</v>
      </c>
      <c r="I510" s="11" t="n">
        <v>79</v>
      </c>
      <c r="J510" s="12" t="n">
        <v>0.1</v>
      </c>
      <c r="K510" s="11">
        <f>H510*I510*(1-J510)</f>
        <v/>
      </c>
      <c r="L510" s="11" t="n">
        <v>36</v>
      </c>
      <c r="M510" s="11">
        <f>K510-(H510*L510)</f>
        <v/>
      </c>
      <c r="N510" s="11">
        <f>H510*6</f>
        <v/>
      </c>
    </row>
    <row r="511">
      <c r="A511" t="inlineStr">
        <is>
          <t>LL-00510</t>
        </is>
      </c>
      <c r="B511" s="10" t="n">
        <v>46064</v>
      </c>
      <c r="C511" t="inlineStr">
        <is>
          <t>Feb</t>
        </is>
      </c>
      <c r="D511" t="inlineStr">
        <is>
          <t>East</t>
        </is>
      </c>
      <c r="E511" t="inlineStr">
        <is>
          <t>Online</t>
        </is>
      </c>
      <c r="F511" t="inlineStr">
        <is>
          <t>Luna Throw</t>
        </is>
      </c>
      <c r="G511" t="inlineStr">
        <is>
          <t>Living</t>
        </is>
      </c>
      <c r="H511" t="n">
        <v>7</v>
      </c>
      <c r="I511" s="11" t="n">
        <v>69</v>
      </c>
      <c r="J511" s="12" t="n">
        <v>0.05</v>
      </c>
      <c r="K511" s="11">
        <f>H511*I511*(1-J511)</f>
        <v/>
      </c>
      <c r="L511" s="11" t="n">
        <v>31</v>
      </c>
      <c r="M511" s="11">
        <f>K511-(H511*L511)</f>
        <v/>
      </c>
      <c r="N511" s="11">
        <f>H511*11</f>
        <v/>
      </c>
    </row>
    <row r="512">
      <c r="A512" t="inlineStr">
        <is>
          <t>LL-00511</t>
        </is>
      </c>
      <c r="B512" s="10" t="n">
        <v>46123</v>
      </c>
      <c r="C512" t="inlineStr">
        <is>
          <t>Apr</t>
        </is>
      </c>
      <c r="D512" t="inlineStr">
        <is>
          <t>North</t>
        </is>
      </c>
      <c r="E512" t="inlineStr">
        <is>
          <t>Marketplace</t>
        </is>
      </c>
      <c r="F512" t="inlineStr">
        <is>
          <t>Halo Floor Lamp</t>
        </is>
      </c>
      <c r="G512" t="inlineStr">
        <is>
          <t>Lighting</t>
        </is>
      </c>
      <c r="H512" t="n">
        <v>2</v>
      </c>
      <c r="I512" s="11" t="n">
        <v>159</v>
      </c>
      <c r="J512" s="12" t="n">
        <v>0.1</v>
      </c>
      <c r="K512" s="11">
        <f>H512*I512*(1-J512)</f>
        <v/>
      </c>
      <c r="L512" s="11" t="n">
        <v>79</v>
      </c>
      <c r="M512" s="11">
        <f>K512-(H512*L512)</f>
        <v/>
      </c>
      <c r="N512" s="11">
        <f>H512*15</f>
        <v/>
      </c>
    </row>
    <row r="513">
      <c r="A513" t="inlineStr">
        <is>
          <t>LL-00512</t>
        </is>
      </c>
      <c r="B513" s="10" t="n">
        <v>46176</v>
      </c>
      <c r="C513" t="inlineStr">
        <is>
          <t>Jun</t>
        </is>
      </c>
      <c r="D513" t="inlineStr">
        <is>
          <t>South</t>
        </is>
      </c>
      <c r="E513" t="inlineStr">
        <is>
          <t>Online</t>
        </is>
      </c>
      <c r="F513" t="inlineStr">
        <is>
          <t>Focus Monitor Stand</t>
        </is>
      </c>
      <c r="G513" t="inlineStr">
        <is>
          <t>Workspace</t>
        </is>
      </c>
      <c r="H513" t="n">
        <v>5</v>
      </c>
      <c r="I513" s="11" t="n">
        <v>79</v>
      </c>
      <c r="J513" s="12" t="n">
        <v>0.1</v>
      </c>
      <c r="K513" s="11">
        <f>H513*I513*(1-J513)</f>
        <v/>
      </c>
      <c r="L513" s="11" t="n">
        <v>36</v>
      </c>
      <c r="M513" s="11">
        <f>K513-(H513*L513)</f>
        <v/>
      </c>
      <c r="N513" s="11">
        <f>H513*11</f>
        <v/>
      </c>
    </row>
    <row r="514">
      <c r="A514" t="inlineStr">
        <is>
          <t>LL-00513</t>
        </is>
      </c>
      <c r="B514" s="10" t="n">
        <v>46053</v>
      </c>
      <c r="C514" t="inlineStr">
        <is>
          <t>Jan</t>
        </is>
      </c>
      <c r="D514" t="inlineStr">
        <is>
          <t>West</t>
        </is>
      </c>
      <c r="E514" t="inlineStr">
        <is>
          <t>Retail</t>
        </is>
      </c>
      <c r="F514" t="inlineStr">
        <is>
          <t>Halo Floor Lamp</t>
        </is>
      </c>
      <c r="G514" t="inlineStr">
        <is>
          <t>Lighting</t>
        </is>
      </c>
      <c r="H514" t="n">
        <v>2</v>
      </c>
      <c r="I514" s="11" t="n">
        <v>159</v>
      </c>
      <c r="J514" s="12" t="n">
        <v>0.05</v>
      </c>
      <c r="K514" s="11">
        <f>H514*I514*(1-J514)</f>
        <v/>
      </c>
      <c r="L514" s="11" t="n">
        <v>79</v>
      </c>
      <c r="M514" s="11">
        <f>K514-(H514*L514)</f>
        <v/>
      </c>
      <c r="N514" s="11">
        <f>H514*6</f>
        <v/>
      </c>
    </row>
    <row r="515">
      <c r="A515" t="inlineStr">
        <is>
          <t>LL-00514</t>
        </is>
      </c>
      <c r="B515" s="10" t="n">
        <v>46315</v>
      </c>
      <c r="C515" t="inlineStr">
        <is>
          <t>Oct</t>
        </is>
      </c>
      <c r="D515" t="inlineStr">
        <is>
          <t>East</t>
        </is>
      </c>
      <c r="E515" t="inlineStr">
        <is>
          <t>Marketplace</t>
        </is>
      </c>
      <c r="F515" t="inlineStr">
        <is>
          <t>Aurora Desk Lamp</t>
        </is>
      </c>
      <c r="G515" t="inlineStr">
        <is>
          <t>Lighting</t>
        </is>
      </c>
      <c r="H515" t="n">
        <v>7</v>
      </c>
      <c r="I515" s="11" t="n">
        <v>89</v>
      </c>
      <c r="J515" s="12" t="n">
        <v>0.05</v>
      </c>
      <c r="K515" s="11">
        <f>H515*I515*(1-J515)</f>
        <v/>
      </c>
      <c r="L515" s="11" t="n">
        <v>42</v>
      </c>
      <c r="M515" s="11">
        <f>K515-(H515*L515)</f>
        <v/>
      </c>
      <c r="N515" s="11">
        <f>H515*15</f>
        <v/>
      </c>
    </row>
    <row r="516">
      <c r="A516" t="inlineStr">
        <is>
          <t>LL-00515</t>
        </is>
      </c>
      <c r="B516" s="10" t="n">
        <v>46370</v>
      </c>
      <c r="C516" t="inlineStr">
        <is>
          <t>Dec</t>
        </is>
      </c>
      <c r="D516" t="inlineStr">
        <is>
          <t>North</t>
        </is>
      </c>
      <c r="E516" t="inlineStr">
        <is>
          <t>Retail</t>
        </is>
      </c>
      <c r="F516" t="inlineStr">
        <is>
          <t>Nest Basket</t>
        </is>
      </c>
      <c r="G516" t="inlineStr">
        <is>
          <t>Living</t>
        </is>
      </c>
      <c r="H516" t="n">
        <v>7</v>
      </c>
      <c r="I516" s="11" t="n">
        <v>55</v>
      </c>
      <c r="J516" s="12" t="n">
        <v>0.1</v>
      </c>
      <c r="K516" s="11">
        <f>H516*I516*(1-J516)</f>
        <v/>
      </c>
      <c r="L516" s="11" t="n">
        <v>24</v>
      </c>
      <c r="M516" s="11">
        <f>K516-(H516*L516)</f>
        <v/>
      </c>
      <c r="N516" s="11">
        <f>H516*6</f>
        <v/>
      </c>
    </row>
    <row r="517">
      <c r="A517" t="inlineStr">
        <is>
          <t>LL-00516</t>
        </is>
      </c>
      <c r="B517" s="10" t="n">
        <v>46114</v>
      </c>
      <c r="C517" t="inlineStr">
        <is>
          <t>Apr</t>
        </is>
      </c>
      <c r="D517" t="inlineStr">
        <is>
          <t>South</t>
        </is>
      </c>
      <c r="E517" t="inlineStr">
        <is>
          <t>Retail</t>
        </is>
      </c>
      <c r="F517" t="inlineStr">
        <is>
          <t>Luna Throw</t>
        </is>
      </c>
      <c r="G517" t="inlineStr">
        <is>
          <t>Living</t>
        </is>
      </c>
      <c r="H517" t="n">
        <v>8</v>
      </c>
      <c r="I517" s="11" t="n">
        <v>69</v>
      </c>
      <c r="J517" s="12" t="n">
        <v>0</v>
      </c>
      <c r="K517" s="11">
        <f>H517*I517*(1-J517)</f>
        <v/>
      </c>
      <c r="L517" s="11" t="n">
        <v>31</v>
      </c>
      <c r="M517" s="11">
        <f>K517-(H517*L517)</f>
        <v/>
      </c>
      <c r="N517" s="11">
        <f>H517*6</f>
        <v/>
      </c>
    </row>
    <row r="518">
      <c r="A518" t="inlineStr">
        <is>
          <t>LL-00517</t>
        </is>
      </c>
      <c r="B518" s="10" t="n">
        <v>46158</v>
      </c>
      <c r="C518" t="inlineStr">
        <is>
          <t>May</t>
        </is>
      </c>
      <c r="D518" t="inlineStr">
        <is>
          <t>South</t>
        </is>
      </c>
      <c r="E518" t="inlineStr">
        <is>
          <t>Online</t>
        </is>
      </c>
      <c r="F518" t="inlineStr">
        <is>
          <t>Luna Throw</t>
        </is>
      </c>
      <c r="G518" t="inlineStr">
        <is>
          <t>Living</t>
        </is>
      </c>
      <c r="H518" t="n">
        <v>4</v>
      </c>
      <c r="I518" s="11" t="n">
        <v>69</v>
      </c>
      <c r="J518" s="12" t="n">
        <v>0.1</v>
      </c>
      <c r="K518" s="11">
        <f>H518*I518*(1-J518)</f>
        <v/>
      </c>
      <c r="L518" s="11" t="n">
        <v>31</v>
      </c>
      <c r="M518" s="11">
        <f>K518-(H518*L518)</f>
        <v/>
      </c>
      <c r="N518" s="11">
        <f>H518*11</f>
        <v/>
      </c>
    </row>
    <row r="519">
      <c r="A519" t="inlineStr">
        <is>
          <t>LL-00518</t>
        </is>
      </c>
      <c r="B519" s="10" t="n">
        <v>46088</v>
      </c>
      <c r="C519" t="inlineStr">
        <is>
          <t>Mar</t>
        </is>
      </c>
      <c r="D519" t="inlineStr">
        <is>
          <t>West</t>
        </is>
      </c>
      <c r="E519" t="inlineStr">
        <is>
          <t>Retail</t>
        </is>
      </c>
      <c r="F519" t="inlineStr">
        <is>
          <t>Aurora Desk Lamp</t>
        </is>
      </c>
      <c r="G519" t="inlineStr">
        <is>
          <t>Lighting</t>
        </is>
      </c>
      <c r="H519" t="n">
        <v>7</v>
      </c>
      <c r="I519" s="11" t="n">
        <v>89</v>
      </c>
      <c r="J519" s="12" t="n">
        <v>0.05</v>
      </c>
      <c r="K519" s="11">
        <f>H519*I519*(1-J519)</f>
        <v/>
      </c>
      <c r="L519" s="11" t="n">
        <v>42</v>
      </c>
      <c r="M519" s="11">
        <f>K519-(H519*L519)</f>
        <v/>
      </c>
      <c r="N519" s="11">
        <f>H519*6</f>
        <v/>
      </c>
    </row>
    <row r="520">
      <c r="A520" t="inlineStr">
        <is>
          <t>LL-00519</t>
        </is>
      </c>
      <c r="B520" s="10" t="n">
        <v>46070</v>
      </c>
      <c r="C520" t="inlineStr">
        <is>
          <t>Feb</t>
        </is>
      </c>
      <c r="D520" t="inlineStr">
        <is>
          <t>East</t>
        </is>
      </c>
      <c r="E520" t="inlineStr">
        <is>
          <t>Online</t>
        </is>
      </c>
      <c r="F520" t="inlineStr">
        <is>
          <t>Nest Basket</t>
        </is>
      </c>
      <c r="G520" t="inlineStr">
        <is>
          <t>Living</t>
        </is>
      </c>
      <c r="H520" t="n">
        <v>5</v>
      </c>
      <c r="I520" s="11" t="n">
        <v>55</v>
      </c>
      <c r="J520" s="12" t="n">
        <v>0.2</v>
      </c>
      <c r="K520" s="11">
        <f>H520*I520*(1-J520)</f>
        <v/>
      </c>
      <c r="L520" s="11" t="n">
        <v>24</v>
      </c>
      <c r="M520" s="11">
        <f>K520-(H520*L520)</f>
        <v/>
      </c>
      <c r="N520" s="11">
        <f>H520*11</f>
        <v/>
      </c>
    </row>
    <row r="521">
      <c r="A521" t="inlineStr">
        <is>
          <t>LL-00520</t>
        </is>
      </c>
      <c r="B521" s="10" t="n">
        <v>46189</v>
      </c>
      <c r="C521" t="inlineStr">
        <is>
          <t>Jun</t>
        </is>
      </c>
      <c r="D521" t="inlineStr">
        <is>
          <t>South</t>
        </is>
      </c>
      <c r="E521" t="inlineStr">
        <is>
          <t>Retail</t>
        </is>
      </c>
      <c r="F521" t="inlineStr">
        <is>
          <t>Aurora Desk Lamp</t>
        </is>
      </c>
      <c r="G521" t="inlineStr">
        <is>
          <t>Lighting</t>
        </is>
      </c>
      <c r="H521" t="n">
        <v>5</v>
      </c>
      <c r="I521" s="11" t="n">
        <v>89</v>
      </c>
      <c r="J521" s="12" t="n">
        <v>0</v>
      </c>
      <c r="K521" s="11">
        <f>H521*I521*(1-J521)</f>
        <v/>
      </c>
      <c r="L521" s="11" t="n">
        <v>42</v>
      </c>
      <c r="M521" s="11">
        <f>K521-(H521*L521)</f>
        <v/>
      </c>
      <c r="N521" s="11">
        <f>H521*6</f>
        <v/>
      </c>
    </row>
    <row r="522">
      <c r="A522" t="inlineStr">
        <is>
          <t>LL-00521</t>
        </is>
      </c>
      <c r="B522" s="10" t="n">
        <v>46153</v>
      </c>
      <c r="C522" t="inlineStr">
        <is>
          <t>May</t>
        </is>
      </c>
      <c r="D522" t="inlineStr">
        <is>
          <t>East</t>
        </is>
      </c>
      <c r="E522" t="inlineStr">
        <is>
          <t>Retail</t>
        </is>
      </c>
      <c r="F522" t="inlineStr">
        <is>
          <t>Aurora Desk Lamp</t>
        </is>
      </c>
      <c r="G522" t="inlineStr">
        <is>
          <t>Lighting</t>
        </is>
      </c>
      <c r="H522" t="n">
        <v>7</v>
      </c>
      <c r="I522" s="11" t="n">
        <v>89</v>
      </c>
      <c r="J522" s="12" t="n">
        <v>0.05</v>
      </c>
      <c r="K522" s="11">
        <f>H522*I522*(1-J522)</f>
        <v/>
      </c>
      <c r="L522" s="11" t="n">
        <v>42</v>
      </c>
      <c r="M522" s="11">
        <f>K522-(H522*L522)</f>
        <v/>
      </c>
      <c r="N522" s="11">
        <f>H522*6</f>
        <v/>
      </c>
    </row>
    <row r="523">
      <c r="A523" t="inlineStr">
        <is>
          <t>LL-00522</t>
        </is>
      </c>
      <c r="B523" s="10" t="n">
        <v>46265</v>
      </c>
      <c r="C523" t="inlineStr">
        <is>
          <t>Aug</t>
        </is>
      </c>
      <c r="D523" t="inlineStr">
        <is>
          <t>South</t>
        </is>
      </c>
      <c r="E523" t="inlineStr">
        <is>
          <t>Marketplace</t>
        </is>
      </c>
      <c r="F523" t="inlineStr">
        <is>
          <t>Arc Side Table</t>
        </is>
      </c>
      <c r="G523" t="inlineStr">
        <is>
          <t>Living</t>
        </is>
      </c>
      <c r="H523" t="n">
        <v>8</v>
      </c>
      <c r="I523" s="11" t="n">
        <v>139</v>
      </c>
      <c r="J523" s="12" t="n">
        <v>0</v>
      </c>
      <c r="K523" s="11">
        <f>H523*I523*(1-J523)</f>
        <v/>
      </c>
      <c r="L523" s="11" t="n">
        <v>72</v>
      </c>
      <c r="M523" s="11">
        <f>K523-(H523*L523)</f>
        <v/>
      </c>
      <c r="N523" s="11">
        <f>H523*15</f>
        <v/>
      </c>
    </row>
    <row r="524">
      <c r="A524" t="inlineStr">
        <is>
          <t>LL-00523</t>
        </is>
      </c>
      <c r="B524" s="10" t="n">
        <v>46264</v>
      </c>
      <c r="C524" t="inlineStr">
        <is>
          <t>Aug</t>
        </is>
      </c>
      <c r="D524" t="inlineStr">
        <is>
          <t>West</t>
        </is>
      </c>
      <c r="E524" t="inlineStr">
        <is>
          <t>Retail</t>
        </is>
      </c>
      <c r="F524" t="inlineStr">
        <is>
          <t>Halo Floor Lamp</t>
        </is>
      </c>
      <c r="G524" t="inlineStr">
        <is>
          <t>Lighting</t>
        </is>
      </c>
      <c r="H524" t="n">
        <v>6</v>
      </c>
      <c r="I524" s="11" t="n">
        <v>159</v>
      </c>
      <c r="J524" s="12" t="n">
        <v>0.2</v>
      </c>
      <c r="K524" s="11">
        <f>H524*I524*(1-J524)</f>
        <v/>
      </c>
      <c r="L524" s="11" t="n">
        <v>79</v>
      </c>
      <c r="M524" s="11">
        <f>K524-(H524*L524)</f>
        <v/>
      </c>
      <c r="N524" s="11">
        <f>H524*6</f>
        <v/>
      </c>
    </row>
    <row r="525">
      <c r="A525" t="inlineStr">
        <is>
          <t>LL-00524</t>
        </is>
      </c>
      <c r="B525" s="10" t="n">
        <v>46034</v>
      </c>
      <c r="C525" t="inlineStr">
        <is>
          <t>Jan</t>
        </is>
      </c>
      <c r="D525" t="inlineStr">
        <is>
          <t>North</t>
        </is>
      </c>
      <c r="E525" t="inlineStr">
        <is>
          <t>Retail</t>
        </is>
      </c>
      <c r="F525" t="inlineStr">
        <is>
          <t>Halo Floor Lamp</t>
        </is>
      </c>
      <c r="G525" t="inlineStr">
        <is>
          <t>Lighting</t>
        </is>
      </c>
      <c r="H525" t="n">
        <v>4</v>
      </c>
      <c r="I525" s="11" t="n">
        <v>159</v>
      </c>
      <c r="J525" s="12" t="n">
        <v>0.1</v>
      </c>
      <c r="K525" s="11">
        <f>H525*I525*(1-J525)</f>
        <v/>
      </c>
      <c r="L525" s="11" t="n">
        <v>79</v>
      </c>
      <c r="M525" s="11">
        <f>K525-(H525*L525)</f>
        <v/>
      </c>
      <c r="N525" s="11">
        <f>H525*6</f>
        <v/>
      </c>
    </row>
    <row r="526">
      <c r="A526" t="inlineStr">
        <is>
          <t>LL-00525</t>
        </is>
      </c>
      <c r="B526" s="10" t="n">
        <v>46297</v>
      </c>
      <c r="C526" t="inlineStr">
        <is>
          <t>Oct</t>
        </is>
      </c>
      <c r="D526" t="inlineStr">
        <is>
          <t>East</t>
        </is>
      </c>
      <c r="E526" t="inlineStr">
        <is>
          <t>Online</t>
        </is>
      </c>
      <c r="F526" t="inlineStr">
        <is>
          <t>Focus Monitor Stand</t>
        </is>
      </c>
      <c r="G526" t="inlineStr">
        <is>
          <t>Workspace</t>
        </is>
      </c>
      <c r="H526" t="n">
        <v>7</v>
      </c>
      <c r="I526" s="11" t="n">
        <v>79</v>
      </c>
      <c r="J526" s="12" t="n">
        <v>0.2</v>
      </c>
      <c r="K526" s="11">
        <f>H526*I526*(1-J526)</f>
        <v/>
      </c>
      <c r="L526" s="11" t="n">
        <v>36</v>
      </c>
      <c r="M526" s="11">
        <f>K526-(H526*L526)</f>
        <v/>
      </c>
      <c r="N526" s="11">
        <f>H526*11</f>
        <v/>
      </c>
    </row>
    <row r="527">
      <c r="A527" t="inlineStr">
        <is>
          <t>LL-00526</t>
        </is>
      </c>
      <c r="B527" s="10" t="n">
        <v>46372</v>
      </c>
      <c r="C527" t="inlineStr">
        <is>
          <t>Dec</t>
        </is>
      </c>
      <c r="D527" t="inlineStr">
        <is>
          <t>East</t>
        </is>
      </c>
      <c r="E527" t="inlineStr">
        <is>
          <t>Retail</t>
        </is>
      </c>
      <c r="F527" t="inlineStr">
        <is>
          <t>Halo Floor Lamp</t>
        </is>
      </c>
      <c r="G527" t="inlineStr">
        <is>
          <t>Lighting</t>
        </is>
      </c>
      <c r="H527" t="n">
        <v>2</v>
      </c>
      <c r="I527" s="11" t="n">
        <v>159</v>
      </c>
      <c r="J527" s="12" t="n">
        <v>0.15</v>
      </c>
      <c r="K527" s="11">
        <f>H527*I527*(1-J527)</f>
        <v/>
      </c>
      <c r="L527" s="11" t="n">
        <v>79</v>
      </c>
      <c r="M527" s="11">
        <f>K527-(H527*L527)</f>
        <v/>
      </c>
      <c r="N527" s="11">
        <f>H527*6</f>
        <v/>
      </c>
    </row>
    <row r="528">
      <c r="A528" t="inlineStr">
        <is>
          <t>LL-00527</t>
        </is>
      </c>
      <c r="B528" s="10" t="n">
        <v>46350</v>
      </c>
      <c r="C528" t="inlineStr">
        <is>
          <t>Nov</t>
        </is>
      </c>
      <c r="D528" t="inlineStr">
        <is>
          <t>South</t>
        </is>
      </c>
      <c r="E528" t="inlineStr">
        <is>
          <t>Online</t>
        </is>
      </c>
      <c r="F528" t="inlineStr">
        <is>
          <t>Arc Side Table</t>
        </is>
      </c>
      <c r="G528" t="inlineStr">
        <is>
          <t>Living</t>
        </is>
      </c>
      <c r="H528" t="n">
        <v>1</v>
      </c>
      <c r="I528" s="11" t="n">
        <v>139</v>
      </c>
      <c r="J528" s="12" t="n">
        <v>0.2</v>
      </c>
      <c r="K528" s="11">
        <f>H528*I528*(1-J528)</f>
        <v/>
      </c>
      <c r="L528" s="11" t="n">
        <v>72</v>
      </c>
      <c r="M528" s="11">
        <f>K528-(H528*L528)</f>
        <v/>
      </c>
      <c r="N528" s="11">
        <f>H528*11</f>
        <v/>
      </c>
    </row>
    <row r="529">
      <c r="A529" t="inlineStr">
        <is>
          <t>LL-00528</t>
        </is>
      </c>
      <c r="B529" s="10" t="n">
        <v>46296</v>
      </c>
      <c r="C529" t="inlineStr">
        <is>
          <t>Oct</t>
        </is>
      </c>
      <c r="D529" t="inlineStr">
        <is>
          <t>North</t>
        </is>
      </c>
      <c r="E529" t="inlineStr">
        <is>
          <t>Marketplace</t>
        </is>
      </c>
      <c r="F529" t="inlineStr">
        <is>
          <t>Arc Side Table</t>
        </is>
      </c>
      <c r="G529" t="inlineStr">
        <is>
          <t>Living</t>
        </is>
      </c>
      <c r="H529" t="n">
        <v>1</v>
      </c>
      <c r="I529" s="11" t="n">
        <v>139</v>
      </c>
      <c r="J529" s="12" t="n">
        <v>0.15</v>
      </c>
      <c r="K529" s="11">
        <f>H529*I529*(1-J529)</f>
        <v/>
      </c>
      <c r="L529" s="11" t="n">
        <v>72</v>
      </c>
      <c r="M529" s="11">
        <f>K529-(H529*L529)</f>
        <v/>
      </c>
      <c r="N529" s="11">
        <f>H529*15</f>
        <v/>
      </c>
    </row>
    <row r="530">
      <c r="A530" t="inlineStr">
        <is>
          <t>LL-00529</t>
        </is>
      </c>
      <c r="B530" s="10" t="n">
        <v>46220</v>
      </c>
      <c r="C530" t="inlineStr">
        <is>
          <t>Jul</t>
        </is>
      </c>
      <c r="D530" t="inlineStr">
        <is>
          <t>South</t>
        </is>
      </c>
      <c r="E530" t="inlineStr">
        <is>
          <t>Online</t>
        </is>
      </c>
      <c r="F530" t="inlineStr">
        <is>
          <t>Luna Throw</t>
        </is>
      </c>
      <c r="G530" t="inlineStr">
        <is>
          <t>Living</t>
        </is>
      </c>
      <c r="H530" t="n">
        <v>8</v>
      </c>
      <c r="I530" s="11" t="n">
        <v>69</v>
      </c>
      <c r="J530" s="12" t="n">
        <v>0.05</v>
      </c>
      <c r="K530" s="11">
        <f>H530*I530*(1-J530)</f>
        <v/>
      </c>
      <c r="L530" s="11" t="n">
        <v>31</v>
      </c>
      <c r="M530" s="11">
        <f>K530-(H530*L530)</f>
        <v/>
      </c>
      <c r="N530" s="11">
        <f>H530*11</f>
        <v/>
      </c>
    </row>
    <row r="531">
      <c r="A531" t="inlineStr">
        <is>
          <t>LL-00530</t>
        </is>
      </c>
      <c r="B531" s="10" t="n">
        <v>46175</v>
      </c>
      <c r="C531" t="inlineStr">
        <is>
          <t>Jun</t>
        </is>
      </c>
      <c r="D531" t="inlineStr">
        <is>
          <t>North</t>
        </is>
      </c>
      <c r="E531" t="inlineStr">
        <is>
          <t>Online</t>
        </is>
      </c>
      <c r="F531" t="inlineStr">
        <is>
          <t>Nest Basket</t>
        </is>
      </c>
      <c r="G531" t="inlineStr">
        <is>
          <t>Living</t>
        </is>
      </c>
      <c r="H531" t="n">
        <v>6</v>
      </c>
      <c r="I531" s="11" t="n">
        <v>55</v>
      </c>
      <c r="J531" s="12" t="n">
        <v>0.05</v>
      </c>
      <c r="K531" s="11">
        <f>H531*I531*(1-J531)</f>
        <v/>
      </c>
      <c r="L531" s="11" t="n">
        <v>24</v>
      </c>
      <c r="M531" s="11">
        <f>K531-(H531*L531)</f>
        <v/>
      </c>
      <c r="N531" s="11">
        <f>H531*11</f>
        <v/>
      </c>
    </row>
    <row r="532">
      <c r="A532" t="inlineStr">
        <is>
          <t>LL-00531</t>
        </is>
      </c>
      <c r="B532" s="10" t="n">
        <v>46103</v>
      </c>
      <c r="C532" t="inlineStr">
        <is>
          <t>Mar</t>
        </is>
      </c>
      <c r="D532" t="inlineStr">
        <is>
          <t>West</t>
        </is>
      </c>
      <c r="E532" t="inlineStr">
        <is>
          <t>Marketplace</t>
        </is>
      </c>
      <c r="F532" t="inlineStr">
        <is>
          <t>Halo Floor Lamp</t>
        </is>
      </c>
      <c r="G532" t="inlineStr">
        <is>
          <t>Lighting</t>
        </is>
      </c>
      <c r="H532" t="n">
        <v>3</v>
      </c>
      <c r="I532" s="11" t="n">
        <v>159</v>
      </c>
      <c r="J532" s="12" t="n">
        <v>0</v>
      </c>
      <c r="K532" s="11">
        <f>H532*I532*(1-J532)</f>
        <v/>
      </c>
      <c r="L532" s="11" t="n">
        <v>79</v>
      </c>
      <c r="M532" s="11">
        <f>K532-(H532*L532)</f>
        <v/>
      </c>
      <c r="N532" s="11">
        <f>H532*15</f>
        <v/>
      </c>
    </row>
    <row r="533">
      <c r="A533" t="inlineStr">
        <is>
          <t>LL-00532</t>
        </is>
      </c>
      <c r="B533" s="10" t="n">
        <v>46371</v>
      </c>
      <c r="C533" t="inlineStr">
        <is>
          <t>Dec</t>
        </is>
      </c>
      <c r="D533" t="inlineStr">
        <is>
          <t>West</t>
        </is>
      </c>
      <c r="E533" t="inlineStr">
        <is>
          <t>Marketplace</t>
        </is>
      </c>
      <c r="F533" t="inlineStr">
        <is>
          <t>Aurora Desk Lamp</t>
        </is>
      </c>
      <c r="G533" t="inlineStr">
        <is>
          <t>Lighting</t>
        </is>
      </c>
      <c r="H533" t="n">
        <v>2</v>
      </c>
      <c r="I533" s="11" t="n">
        <v>89</v>
      </c>
      <c r="J533" s="12" t="n">
        <v>0</v>
      </c>
      <c r="K533" s="11">
        <f>H533*I533*(1-J533)</f>
        <v/>
      </c>
      <c r="L533" s="11" t="n">
        <v>42</v>
      </c>
      <c r="M533" s="11">
        <f>K533-(H533*L533)</f>
        <v/>
      </c>
      <c r="N533" s="11">
        <f>H533*15</f>
        <v/>
      </c>
    </row>
    <row r="534">
      <c r="A534" t="inlineStr">
        <is>
          <t>LL-00533</t>
        </is>
      </c>
      <c r="B534" s="10" t="n">
        <v>46023</v>
      </c>
      <c r="C534" t="inlineStr">
        <is>
          <t>Jan</t>
        </is>
      </c>
      <c r="D534" t="inlineStr">
        <is>
          <t>North</t>
        </is>
      </c>
      <c r="E534" t="inlineStr">
        <is>
          <t>Marketplace</t>
        </is>
      </c>
      <c r="F534" t="inlineStr">
        <is>
          <t>Nest Basket</t>
        </is>
      </c>
      <c r="G534" t="inlineStr">
        <is>
          <t>Living</t>
        </is>
      </c>
      <c r="H534" t="n">
        <v>8</v>
      </c>
      <c r="I534" s="11" t="n">
        <v>55</v>
      </c>
      <c r="J534" s="12" t="n">
        <v>0.15</v>
      </c>
      <c r="K534" s="11">
        <f>H534*I534*(1-J534)</f>
        <v/>
      </c>
      <c r="L534" s="11" t="n">
        <v>24</v>
      </c>
      <c r="M534" s="11">
        <f>K534-(H534*L534)</f>
        <v/>
      </c>
      <c r="N534" s="11">
        <f>H534*15</f>
        <v/>
      </c>
    </row>
    <row r="535">
      <c r="A535" t="inlineStr">
        <is>
          <t>LL-00534</t>
        </is>
      </c>
      <c r="B535" s="10" t="n">
        <v>46299</v>
      </c>
      <c r="C535" t="inlineStr">
        <is>
          <t>Oct</t>
        </is>
      </c>
      <c r="D535" t="inlineStr">
        <is>
          <t>North</t>
        </is>
      </c>
      <c r="E535" t="inlineStr">
        <is>
          <t>Online</t>
        </is>
      </c>
      <c r="F535" t="inlineStr">
        <is>
          <t>Arc Side Table</t>
        </is>
      </c>
      <c r="G535" t="inlineStr">
        <is>
          <t>Living</t>
        </is>
      </c>
      <c r="H535" t="n">
        <v>3</v>
      </c>
      <c r="I535" s="11" t="n">
        <v>139</v>
      </c>
      <c r="J535" s="12" t="n">
        <v>0</v>
      </c>
      <c r="K535" s="11">
        <f>H535*I535*(1-J535)</f>
        <v/>
      </c>
      <c r="L535" s="11" t="n">
        <v>72</v>
      </c>
      <c r="M535" s="11">
        <f>K535-(H535*L535)</f>
        <v/>
      </c>
      <c r="N535" s="11">
        <f>H535*11</f>
        <v/>
      </c>
    </row>
    <row r="536">
      <c r="A536" t="inlineStr">
        <is>
          <t>LL-00535</t>
        </is>
      </c>
      <c r="B536" s="10" t="n">
        <v>46104</v>
      </c>
      <c r="C536" t="inlineStr">
        <is>
          <t>Mar</t>
        </is>
      </c>
      <c r="D536" t="inlineStr">
        <is>
          <t>East</t>
        </is>
      </c>
      <c r="E536" t="inlineStr">
        <is>
          <t>Retail</t>
        </is>
      </c>
      <c r="F536" t="inlineStr">
        <is>
          <t>Focus Monitor Stand</t>
        </is>
      </c>
      <c r="G536" t="inlineStr">
        <is>
          <t>Workspace</t>
        </is>
      </c>
      <c r="H536" t="n">
        <v>2</v>
      </c>
      <c r="I536" s="11" t="n">
        <v>79</v>
      </c>
      <c r="J536" s="12" t="n">
        <v>0.1</v>
      </c>
      <c r="K536" s="11">
        <f>H536*I536*(1-J536)</f>
        <v/>
      </c>
      <c r="L536" s="11" t="n">
        <v>36</v>
      </c>
      <c r="M536" s="11">
        <f>K536-(H536*L536)</f>
        <v/>
      </c>
      <c r="N536" s="11">
        <f>H536*6</f>
        <v/>
      </c>
    </row>
    <row r="537">
      <c r="A537" t="inlineStr">
        <is>
          <t>LL-00536</t>
        </is>
      </c>
      <c r="B537" s="10" t="n">
        <v>46386</v>
      </c>
      <c r="C537" t="inlineStr">
        <is>
          <t>Dec</t>
        </is>
      </c>
      <c r="D537" t="inlineStr">
        <is>
          <t>East</t>
        </is>
      </c>
      <c r="E537" t="inlineStr">
        <is>
          <t>Online</t>
        </is>
      </c>
      <c r="F537" t="inlineStr">
        <is>
          <t>Arc Side Table</t>
        </is>
      </c>
      <c r="G537" t="inlineStr">
        <is>
          <t>Living</t>
        </is>
      </c>
      <c r="H537" t="n">
        <v>2</v>
      </c>
      <c r="I537" s="11" t="n">
        <v>139</v>
      </c>
      <c r="J537" s="12" t="n">
        <v>0.05</v>
      </c>
      <c r="K537" s="11">
        <f>H537*I537*(1-J537)</f>
        <v/>
      </c>
      <c r="L537" s="11" t="n">
        <v>72</v>
      </c>
      <c r="M537" s="11">
        <f>K537-(H537*L537)</f>
        <v/>
      </c>
      <c r="N537" s="11">
        <f>H537*11</f>
        <v/>
      </c>
    </row>
    <row r="538">
      <c r="A538" t="inlineStr">
        <is>
          <t>LL-00537</t>
        </is>
      </c>
      <c r="B538" s="10" t="n">
        <v>46259</v>
      </c>
      <c r="C538" t="inlineStr">
        <is>
          <t>Aug</t>
        </is>
      </c>
      <c r="D538" t="inlineStr">
        <is>
          <t>North</t>
        </is>
      </c>
      <c r="E538" t="inlineStr">
        <is>
          <t>Marketplace</t>
        </is>
      </c>
      <c r="F538" t="inlineStr">
        <is>
          <t>Aurora Desk Lamp</t>
        </is>
      </c>
      <c r="G538" t="inlineStr">
        <is>
          <t>Lighting</t>
        </is>
      </c>
      <c r="H538" t="n">
        <v>1</v>
      </c>
      <c r="I538" s="11" t="n">
        <v>89</v>
      </c>
      <c r="J538" s="12" t="n">
        <v>0</v>
      </c>
      <c r="K538" s="11">
        <f>H538*I538*(1-J538)</f>
        <v/>
      </c>
      <c r="L538" s="11" t="n">
        <v>42</v>
      </c>
      <c r="M538" s="11">
        <f>K538-(H538*L538)</f>
        <v/>
      </c>
      <c r="N538" s="11">
        <f>H538*15</f>
        <v/>
      </c>
    </row>
    <row r="539">
      <c r="A539" t="inlineStr">
        <is>
          <t>LL-00538</t>
        </is>
      </c>
      <c r="B539" s="10" t="n">
        <v>46207</v>
      </c>
      <c r="C539" t="inlineStr">
        <is>
          <t>Jul</t>
        </is>
      </c>
      <c r="D539" t="inlineStr">
        <is>
          <t>North</t>
        </is>
      </c>
      <c r="E539" t="inlineStr">
        <is>
          <t>Online</t>
        </is>
      </c>
      <c r="F539" t="inlineStr">
        <is>
          <t>Aurora Desk Lamp</t>
        </is>
      </c>
      <c r="G539" t="inlineStr">
        <is>
          <t>Lighting</t>
        </is>
      </c>
      <c r="H539" t="n">
        <v>5</v>
      </c>
      <c r="I539" s="11" t="n">
        <v>89</v>
      </c>
      <c r="J539" s="12" t="n">
        <v>0</v>
      </c>
      <c r="K539" s="11">
        <f>H539*I539*(1-J539)</f>
        <v/>
      </c>
      <c r="L539" s="11" t="n">
        <v>42</v>
      </c>
      <c r="M539" s="11">
        <f>K539-(H539*L539)</f>
        <v/>
      </c>
      <c r="N539" s="11">
        <f>H539*11</f>
        <v/>
      </c>
    </row>
    <row r="540">
      <c r="A540" t="inlineStr">
        <is>
          <t>LL-00539</t>
        </is>
      </c>
      <c r="B540" s="10" t="n">
        <v>46381</v>
      </c>
      <c r="C540" t="inlineStr">
        <is>
          <t>Dec</t>
        </is>
      </c>
      <c r="D540" t="inlineStr">
        <is>
          <t>South</t>
        </is>
      </c>
      <c r="E540" t="inlineStr">
        <is>
          <t>Online</t>
        </is>
      </c>
      <c r="F540" t="inlineStr">
        <is>
          <t>Luna Throw</t>
        </is>
      </c>
      <c r="G540" t="inlineStr">
        <is>
          <t>Living</t>
        </is>
      </c>
      <c r="H540" t="n">
        <v>7</v>
      </c>
      <c r="I540" s="11" t="n">
        <v>69</v>
      </c>
      <c r="J540" s="12" t="n">
        <v>0.15</v>
      </c>
      <c r="K540" s="11">
        <f>H540*I540*(1-J540)</f>
        <v/>
      </c>
      <c r="L540" s="11" t="n">
        <v>31</v>
      </c>
      <c r="M540" s="11">
        <f>K540-(H540*L540)</f>
        <v/>
      </c>
      <c r="N540" s="11">
        <f>H540*11</f>
        <v/>
      </c>
    </row>
    <row r="541">
      <c r="A541" t="inlineStr">
        <is>
          <t>LL-00540</t>
        </is>
      </c>
      <c r="B541" s="10" t="n">
        <v>46153</v>
      </c>
      <c r="C541" t="inlineStr">
        <is>
          <t>May</t>
        </is>
      </c>
      <c r="D541" t="inlineStr">
        <is>
          <t>North</t>
        </is>
      </c>
      <c r="E541" t="inlineStr">
        <is>
          <t>Online</t>
        </is>
      </c>
      <c r="F541" t="inlineStr">
        <is>
          <t>Aurora Desk Lamp</t>
        </is>
      </c>
      <c r="G541" t="inlineStr">
        <is>
          <t>Lighting</t>
        </is>
      </c>
      <c r="H541" t="n">
        <v>1</v>
      </c>
      <c r="I541" s="11" t="n">
        <v>89</v>
      </c>
      <c r="J541" s="12" t="n">
        <v>0</v>
      </c>
      <c r="K541" s="11">
        <f>H541*I541*(1-J541)</f>
        <v/>
      </c>
      <c r="L541" s="11" t="n">
        <v>42</v>
      </c>
      <c r="M541" s="11">
        <f>K541-(H541*L541)</f>
        <v/>
      </c>
      <c r="N541" s="11">
        <f>H541*11</f>
        <v/>
      </c>
    </row>
    <row r="542">
      <c r="A542" t="inlineStr">
        <is>
          <t>LL-00541</t>
        </is>
      </c>
      <c r="B542" s="10" t="n">
        <v>46026</v>
      </c>
      <c r="C542" t="inlineStr">
        <is>
          <t>Jan</t>
        </is>
      </c>
      <c r="D542" t="inlineStr">
        <is>
          <t>South</t>
        </is>
      </c>
      <c r="E542" t="inlineStr">
        <is>
          <t>Online</t>
        </is>
      </c>
      <c r="F542" t="inlineStr">
        <is>
          <t>Nest Basket</t>
        </is>
      </c>
      <c r="G542" t="inlineStr">
        <is>
          <t>Living</t>
        </is>
      </c>
      <c r="H542" t="n">
        <v>5</v>
      </c>
      <c r="I542" s="11" t="n">
        <v>55</v>
      </c>
      <c r="J542" s="12" t="n">
        <v>0</v>
      </c>
      <c r="K542" s="11">
        <f>H542*I542*(1-J542)</f>
        <v/>
      </c>
      <c r="L542" s="11" t="n">
        <v>24</v>
      </c>
      <c r="M542" s="11">
        <f>K542-(H542*L542)</f>
        <v/>
      </c>
      <c r="N542" s="11">
        <f>H542*11</f>
        <v/>
      </c>
    </row>
    <row r="543">
      <c r="A543" t="inlineStr">
        <is>
          <t>LL-00542</t>
        </is>
      </c>
      <c r="B543" s="10" t="n">
        <v>46255</v>
      </c>
      <c r="C543" t="inlineStr">
        <is>
          <t>Aug</t>
        </is>
      </c>
      <c r="D543" t="inlineStr">
        <is>
          <t>North</t>
        </is>
      </c>
      <c r="E543" t="inlineStr">
        <is>
          <t>Retail</t>
        </is>
      </c>
      <c r="F543" t="inlineStr">
        <is>
          <t>Arc Side Table</t>
        </is>
      </c>
      <c r="G543" t="inlineStr">
        <is>
          <t>Living</t>
        </is>
      </c>
      <c r="H543" t="n">
        <v>2</v>
      </c>
      <c r="I543" s="11" t="n">
        <v>139</v>
      </c>
      <c r="J543" s="12" t="n">
        <v>0.2</v>
      </c>
      <c r="K543" s="11">
        <f>H543*I543*(1-J543)</f>
        <v/>
      </c>
      <c r="L543" s="11" t="n">
        <v>72</v>
      </c>
      <c r="M543" s="11">
        <f>K543-(H543*L543)</f>
        <v/>
      </c>
      <c r="N543" s="11">
        <f>H543*6</f>
        <v/>
      </c>
    </row>
    <row r="544">
      <c r="A544" t="inlineStr">
        <is>
          <t>LL-00543</t>
        </is>
      </c>
      <c r="B544" s="10" t="n">
        <v>46330</v>
      </c>
      <c r="C544" t="inlineStr">
        <is>
          <t>Nov</t>
        </is>
      </c>
      <c r="D544" t="inlineStr">
        <is>
          <t>North</t>
        </is>
      </c>
      <c r="E544" t="inlineStr">
        <is>
          <t>Marketplace</t>
        </is>
      </c>
      <c r="F544" t="inlineStr">
        <is>
          <t>Aurora Desk Lamp</t>
        </is>
      </c>
      <c r="G544" t="inlineStr">
        <is>
          <t>Lighting</t>
        </is>
      </c>
      <c r="H544" t="n">
        <v>5</v>
      </c>
      <c r="I544" s="11" t="n">
        <v>89</v>
      </c>
      <c r="J544" s="12" t="n">
        <v>0.1</v>
      </c>
      <c r="K544" s="11">
        <f>H544*I544*(1-J544)</f>
        <v/>
      </c>
      <c r="L544" s="11" t="n">
        <v>42</v>
      </c>
      <c r="M544" s="11">
        <f>K544-(H544*L544)</f>
        <v/>
      </c>
      <c r="N544" s="11">
        <f>H544*15</f>
        <v/>
      </c>
    </row>
    <row r="545">
      <c r="A545" t="inlineStr">
        <is>
          <t>LL-00544</t>
        </is>
      </c>
      <c r="B545" s="10" t="n">
        <v>46270</v>
      </c>
      <c r="C545" t="inlineStr">
        <is>
          <t>Sep</t>
        </is>
      </c>
      <c r="D545" t="inlineStr">
        <is>
          <t>West</t>
        </is>
      </c>
      <c r="E545" t="inlineStr">
        <is>
          <t>Online</t>
        </is>
      </c>
      <c r="F545" t="inlineStr">
        <is>
          <t>Focus Monitor Stand</t>
        </is>
      </c>
      <c r="G545" t="inlineStr">
        <is>
          <t>Workspace</t>
        </is>
      </c>
      <c r="H545" t="n">
        <v>4</v>
      </c>
      <c r="I545" s="11" t="n">
        <v>79</v>
      </c>
      <c r="J545" s="12" t="n">
        <v>0.05</v>
      </c>
      <c r="K545" s="11">
        <f>H545*I545*(1-J545)</f>
        <v/>
      </c>
      <c r="L545" s="11" t="n">
        <v>36</v>
      </c>
      <c r="M545" s="11">
        <f>K545-(H545*L545)</f>
        <v/>
      </c>
      <c r="N545" s="11">
        <f>H545*11</f>
        <v/>
      </c>
    </row>
    <row r="546">
      <c r="A546" t="inlineStr">
        <is>
          <t>LL-00545</t>
        </is>
      </c>
      <c r="B546" s="10" t="n">
        <v>46205</v>
      </c>
      <c r="C546" t="inlineStr">
        <is>
          <t>Jul</t>
        </is>
      </c>
      <c r="D546" t="inlineStr">
        <is>
          <t>East</t>
        </is>
      </c>
      <c r="E546" t="inlineStr">
        <is>
          <t>Online</t>
        </is>
      </c>
      <c r="F546" t="inlineStr">
        <is>
          <t>Arc Side Table</t>
        </is>
      </c>
      <c r="G546" t="inlineStr">
        <is>
          <t>Living</t>
        </is>
      </c>
      <c r="H546" t="n">
        <v>3</v>
      </c>
      <c r="I546" s="11" t="n">
        <v>139</v>
      </c>
      <c r="J546" s="12" t="n">
        <v>0</v>
      </c>
      <c r="K546" s="11">
        <f>H546*I546*(1-J546)</f>
        <v/>
      </c>
      <c r="L546" s="11" t="n">
        <v>72</v>
      </c>
      <c r="M546" s="11">
        <f>K546-(H546*L546)</f>
        <v/>
      </c>
      <c r="N546" s="11">
        <f>H546*11</f>
        <v/>
      </c>
    </row>
    <row r="547">
      <c r="A547" t="inlineStr">
        <is>
          <t>LL-00546</t>
        </is>
      </c>
      <c r="B547" s="10" t="n">
        <v>46092</v>
      </c>
      <c r="C547" t="inlineStr">
        <is>
          <t>Mar</t>
        </is>
      </c>
      <c r="D547" t="inlineStr">
        <is>
          <t>South</t>
        </is>
      </c>
      <c r="E547" t="inlineStr">
        <is>
          <t>Retail</t>
        </is>
      </c>
      <c r="F547" t="inlineStr">
        <is>
          <t>Aurora Desk Lamp</t>
        </is>
      </c>
      <c r="G547" t="inlineStr">
        <is>
          <t>Lighting</t>
        </is>
      </c>
      <c r="H547" t="n">
        <v>5</v>
      </c>
      <c r="I547" s="11" t="n">
        <v>89</v>
      </c>
      <c r="J547" s="12" t="n">
        <v>0.05</v>
      </c>
      <c r="K547" s="11">
        <f>H547*I547*(1-J547)</f>
        <v/>
      </c>
      <c r="L547" s="11" t="n">
        <v>42</v>
      </c>
      <c r="M547" s="11">
        <f>K547-(H547*L547)</f>
        <v/>
      </c>
      <c r="N547" s="11">
        <f>H547*6</f>
        <v/>
      </c>
    </row>
    <row r="548">
      <c r="A548" t="inlineStr">
        <is>
          <t>LL-00547</t>
        </is>
      </c>
      <c r="B548" s="10" t="n">
        <v>46040</v>
      </c>
      <c r="C548" t="inlineStr">
        <is>
          <t>Jan</t>
        </is>
      </c>
      <c r="D548" t="inlineStr">
        <is>
          <t>West</t>
        </is>
      </c>
      <c r="E548" t="inlineStr">
        <is>
          <t>Retail</t>
        </is>
      </c>
      <c r="F548" t="inlineStr">
        <is>
          <t>Focus Monitor Stand</t>
        </is>
      </c>
      <c r="G548" t="inlineStr">
        <is>
          <t>Workspace</t>
        </is>
      </c>
      <c r="H548" t="n">
        <v>7</v>
      </c>
      <c r="I548" s="11" t="n">
        <v>79</v>
      </c>
      <c r="J548" s="12" t="n">
        <v>0.2</v>
      </c>
      <c r="K548" s="11">
        <f>H548*I548*(1-J548)</f>
        <v/>
      </c>
      <c r="L548" s="11" t="n">
        <v>36</v>
      </c>
      <c r="M548" s="11">
        <f>K548-(H548*L548)</f>
        <v/>
      </c>
      <c r="N548" s="11">
        <f>H548*6</f>
        <v/>
      </c>
    </row>
    <row r="549">
      <c r="A549" t="inlineStr">
        <is>
          <t>LL-00548</t>
        </is>
      </c>
      <c r="B549" s="10" t="n">
        <v>46209</v>
      </c>
      <c r="C549" t="inlineStr">
        <is>
          <t>Jul</t>
        </is>
      </c>
      <c r="D549" t="inlineStr">
        <is>
          <t>East</t>
        </is>
      </c>
      <c r="E549" t="inlineStr">
        <is>
          <t>Retail</t>
        </is>
      </c>
      <c r="F549" t="inlineStr">
        <is>
          <t>Aurora Desk Lamp</t>
        </is>
      </c>
      <c r="G549" t="inlineStr">
        <is>
          <t>Lighting</t>
        </is>
      </c>
      <c r="H549" t="n">
        <v>8</v>
      </c>
      <c r="I549" s="11" t="n">
        <v>89</v>
      </c>
      <c r="J549" s="12" t="n">
        <v>0.1</v>
      </c>
      <c r="K549" s="11">
        <f>H549*I549*(1-J549)</f>
        <v/>
      </c>
      <c r="L549" s="11" t="n">
        <v>42</v>
      </c>
      <c r="M549" s="11">
        <f>K549-(H549*L549)</f>
        <v/>
      </c>
      <c r="N549" s="11">
        <f>H549*6</f>
        <v/>
      </c>
    </row>
    <row r="550">
      <c r="A550" t="inlineStr">
        <is>
          <t>LL-00549</t>
        </is>
      </c>
      <c r="B550" s="10" t="n">
        <v>46054</v>
      </c>
      <c r="C550" t="inlineStr">
        <is>
          <t>Feb</t>
        </is>
      </c>
      <c r="D550" t="inlineStr">
        <is>
          <t>East</t>
        </is>
      </c>
      <c r="E550" t="inlineStr">
        <is>
          <t>Online</t>
        </is>
      </c>
      <c r="F550" t="inlineStr">
        <is>
          <t>Aurora Desk Lamp</t>
        </is>
      </c>
      <c r="G550" t="inlineStr">
        <is>
          <t>Lighting</t>
        </is>
      </c>
      <c r="H550" t="n">
        <v>6</v>
      </c>
      <c r="I550" s="11" t="n">
        <v>89</v>
      </c>
      <c r="J550" s="12" t="n">
        <v>0</v>
      </c>
      <c r="K550" s="11">
        <f>H550*I550*(1-J550)</f>
        <v/>
      </c>
      <c r="L550" s="11" t="n">
        <v>42</v>
      </c>
      <c r="M550" s="11">
        <f>K550-(H550*L550)</f>
        <v/>
      </c>
      <c r="N550" s="11">
        <f>H550*11</f>
        <v/>
      </c>
    </row>
    <row r="551">
      <c r="A551" t="inlineStr">
        <is>
          <t>LL-00550</t>
        </is>
      </c>
      <c r="B551" s="10" t="n">
        <v>46260</v>
      </c>
      <c r="C551" t="inlineStr">
        <is>
          <t>Aug</t>
        </is>
      </c>
      <c r="D551" t="inlineStr">
        <is>
          <t>South</t>
        </is>
      </c>
      <c r="E551" t="inlineStr">
        <is>
          <t>Marketplace</t>
        </is>
      </c>
      <c r="F551" t="inlineStr">
        <is>
          <t>Halo Floor Lamp</t>
        </is>
      </c>
      <c r="G551" t="inlineStr">
        <is>
          <t>Lighting</t>
        </is>
      </c>
      <c r="H551" t="n">
        <v>2</v>
      </c>
      <c r="I551" s="11" t="n">
        <v>159</v>
      </c>
      <c r="J551" s="12" t="n">
        <v>0.15</v>
      </c>
      <c r="K551" s="11">
        <f>H551*I551*(1-J551)</f>
        <v/>
      </c>
      <c r="L551" s="11" t="n">
        <v>79</v>
      </c>
      <c r="M551" s="11">
        <f>K551-(H551*L551)</f>
        <v/>
      </c>
      <c r="N551" s="11">
        <f>H551*15</f>
        <v/>
      </c>
    </row>
    <row r="552">
      <c r="A552" t="inlineStr">
        <is>
          <t>LL-00551</t>
        </is>
      </c>
      <c r="B552" s="10" t="n">
        <v>46035</v>
      </c>
      <c r="C552" t="inlineStr">
        <is>
          <t>Jan</t>
        </is>
      </c>
      <c r="D552" t="inlineStr">
        <is>
          <t>West</t>
        </is>
      </c>
      <c r="E552" t="inlineStr">
        <is>
          <t>Online</t>
        </is>
      </c>
      <c r="F552" t="inlineStr">
        <is>
          <t>Nest Basket</t>
        </is>
      </c>
      <c r="G552" t="inlineStr">
        <is>
          <t>Living</t>
        </is>
      </c>
      <c r="H552" t="n">
        <v>7</v>
      </c>
      <c r="I552" s="11" t="n">
        <v>55</v>
      </c>
      <c r="J552" s="12" t="n">
        <v>0.1</v>
      </c>
      <c r="K552" s="11">
        <f>H552*I552*(1-J552)</f>
        <v/>
      </c>
      <c r="L552" s="11" t="n">
        <v>24</v>
      </c>
      <c r="M552" s="11">
        <f>K552-(H552*L552)</f>
        <v/>
      </c>
      <c r="N552" s="11">
        <f>H552*11</f>
        <v/>
      </c>
    </row>
    <row r="553">
      <c r="A553" t="inlineStr">
        <is>
          <t>LL-00552</t>
        </is>
      </c>
      <c r="B553" s="10" t="n">
        <v>46337</v>
      </c>
      <c r="C553" t="inlineStr">
        <is>
          <t>Nov</t>
        </is>
      </c>
      <c r="D553" t="inlineStr">
        <is>
          <t>North</t>
        </is>
      </c>
      <c r="E553" t="inlineStr">
        <is>
          <t>Online</t>
        </is>
      </c>
      <c r="F553" t="inlineStr">
        <is>
          <t>Nest Basket</t>
        </is>
      </c>
      <c r="G553" t="inlineStr">
        <is>
          <t>Living</t>
        </is>
      </c>
      <c r="H553" t="n">
        <v>7</v>
      </c>
      <c r="I553" s="11" t="n">
        <v>55</v>
      </c>
      <c r="J553" s="12" t="n">
        <v>0</v>
      </c>
      <c r="K553" s="11">
        <f>H553*I553*(1-J553)</f>
        <v/>
      </c>
      <c r="L553" s="11" t="n">
        <v>24</v>
      </c>
      <c r="M553" s="11">
        <f>K553-(H553*L553)</f>
        <v/>
      </c>
      <c r="N553" s="11">
        <f>H553*11</f>
        <v/>
      </c>
    </row>
    <row r="554">
      <c r="A554" t="inlineStr">
        <is>
          <t>LL-00553</t>
        </is>
      </c>
      <c r="B554" s="10" t="n">
        <v>46052</v>
      </c>
      <c r="C554" t="inlineStr">
        <is>
          <t>Jan</t>
        </is>
      </c>
      <c r="D554" t="inlineStr">
        <is>
          <t>South</t>
        </is>
      </c>
      <c r="E554" t="inlineStr">
        <is>
          <t>Online</t>
        </is>
      </c>
      <c r="F554" t="inlineStr">
        <is>
          <t>Arc Side Table</t>
        </is>
      </c>
      <c r="G554" t="inlineStr">
        <is>
          <t>Living</t>
        </is>
      </c>
      <c r="H554" t="n">
        <v>8</v>
      </c>
      <c r="I554" s="11" t="n">
        <v>139</v>
      </c>
      <c r="J554" s="12" t="n">
        <v>0.1</v>
      </c>
      <c r="K554" s="11">
        <f>H554*I554*(1-J554)</f>
        <v/>
      </c>
      <c r="L554" s="11" t="n">
        <v>72</v>
      </c>
      <c r="M554" s="11">
        <f>K554-(H554*L554)</f>
        <v/>
      </c>
      <c r="N554" s="11">
        <f>H554*11</f>
        <v/>
      </c>
    </row>
    <row r="555">
      <c r="A555" t="inlineStr">
        <is>
          <t>LL-00554</t>
        </is>
      </c>
      <c r="B555" s="10" t="n">
        <v>46032</v>
      </c>
      <c r="C555" t="inlineStr">
        <is>
          <t>Jan</t>
        </is>
      </c>
      <c r="D555" t="inlineStr">
        <is>
          <t>North</t>
        </is>
      </c>
      <c r="E555" t="inlineStr">
        <is>
          <t>Online</t>
        </is>
      </c>
      <c r="F555" t="inlineStr">
        <is>
          <t>Luna Throw</t>
        </is>
      </c>
      <c r="G555" t="inlineStr">
        <is>
          <t>Living</t>
        </is>
      </c>
      <c r="H555" t="n">
        <v>4</v>
      </c>
      <c r="I555" s="11" t="n">
        <v>69</v>
      </c>
      <c r="J555" s="12" t="n">
        <v>0.15</v>
      </c>
      <c r="K555" s="11">
        <f>H555*I555*(1-J555)</f>
        <v/>
      </c>
      <c r="L555" s="11" t="n">
        <v>31</v>
      </c>
      <c r="M555" s="11">
        <f>K555-(H555*L555)</f>
        <v/>
      </c>
      <c r="N555" s="11">
        <f>H555*11</f>
        <v/>
      </c>
    </row>
    <row r="556">
      <c r="A556" t="inlineStr">
        <is>
          <t>LL-00555</t>
        </is>
      </c>
      <c r="B556" s="10" t="n">
        <v>46254</v>
      </c>
      <c r="C556" t="inlineStr">
        <is>
          <t>Aug</t>
        </is>
      </c>
      <c r="D556" t="inlineStr">
        <is>
          <t>West</t>
        </is>
      </c>
      <c r="E556" t="inlineStr">
        <is>
          <t>Marketplace</t>
        </is>
      </c>
      <c r="F556" t="inlineStr">
        <is>
          <t>Arc Side Table</t>
        </is>
      </c>
      <c r="G556" t="inlineStr">
        <is>
          <t>Living</t>
        </is>
      </c>
      <c r="H556" t="n">
        <v>7</v>
      </c>
      <c r="I556" s="11" t="n">
        <v>139</v>
      </c>
      <c r="J556" s="12" t="n">
        <v>0.1</v>
      </c>
      <c r="K556" s="11">
        <f>H556*I556*(1-J556)</f>
        <v/>
      </c>
      <c r="L556" s="11" t="n">
        <v>72</v>
      </c>
      <c r="M556" s="11">
        <f>K556-(H556*L556)</f>
        <v/>
      </c>
      <c r="N556" s="11">
        <f>H556*15</f>
        <v/>
      </c>
    </row>
    <row r="557">
      <c r="A557" t="inlineStr">
        <is>
          <t>LL-00556</t>
        </is>
      </c>
      <c r="B557" s="10" t="n">
        <v>46166</v>
      </c>
      <c r="C557" t="inlineStr">
        <is>
          <t>May</t>
        </is>
      </c>
      <c r="D557" t="inlineStr">
        <is>
          <t>North</t>
        </is>
      </c>
      <c r="E557" t="inlineStr">
        <is>
          <t>Retail</t>
        </is>
      </c>
      <c r="F557" t="inlineStr">
        <is>
          <t>Arc Side Table</t>
        </is>
      </c>
      <c r="G557" t="inlineStr">
        <is>
          <t>Living</t>
        </is>
      </c>
      <c r="H557" t="n">
        <v>1</v>
      </c>
      <c r="I557" s="11" t="n">
        <v>139</v>
      </c>
      <c r="J557" s="12" t="n">
        <v>0</v>
      </c>
      <c r="K557" s="11">
        <f>H557*I557*(1-J557)</f>
        <v/>
      </c>
      <c r="L557" s="11" t="n">
        <v>72</v>
      </c>
      <c r="M557" s="11">
        <f>K557-(H557*L557)</f>
        <v/>
      </c>
      <c r="N557" s="11">
        <f>H557*6</f>
        <v/>
      </c>
    </row>
    <row r="558">
      <c r="A558" t="inlineStr">
        <is>
          <t>LL-00557</t>
        </is>
      </c>
      <c r="B558" s="10" t="n">
        <v>46265</v>
      </c>
      <c r="C558" t="inlineStr">
        <is>
          <t>Aug</t>
        </is>
      </c>
      <c r="D558" t="inlineStr">
        <is>
          <t>West</t>
        </is>
      </c>
      <c r="E558" t="inlineStr">
        <is>
          <t>Online</t>
        </is>
      </c>
      <c r="F558" t="inlineStr">
        <is>
          <t>Nest Basket</t>
        </is>
      </c>
      <c r="G558" t="inlineStr">
        <is>
          <t>Living</t>
        </is>
      </c>
      <c r="H558" t="n">
        <v>5</v>
      </c>
      <c r="I558" s="11" t="n">
        <v>55</v>
      </c>
      <c r="J558" s="12" t="n">
        <v>0.1</v>
      </c>
      <c r="K558" s="11">
        <f>H558*I558*(1-J558)</f>
        <v/>
      </c>
      <c r="L558" s="11" t="n">
        <v>24</v>
      </c>
      <c r="M558" s="11">
        <f>K558-(H558*L558)</f>
        <v/>
      </c>
      <c r="N558" s="11">
        <f>H558*11</f>
        <v/>
      </c>
    </row>
    <row r="559">
      <c r="A559" t="inlineStr">
        <is>
          <t>LL-00558</t>
        </is>
      </c>
      <c r="B559" s="10" t="n">
        <v>46060</v>
      </c>
      <c r="C559" t="inlineStr">
        <is>
          <t>Feb</t>
        </is>
      </c>
      <c r="D559" t="inlineStr">
        <is>
          <t>North</t>
        </is>
      </c>
      <c r="E559" t="inlineStr">
        <is>
          <t>Online</t>
        </is>
      </c>
      <c r="F559" t="inlineStr">
        <is>
          <t>Arc Side Table</t>
        </is>
      </c>
      <c r="G559" t="inlineStr">
        <is>
          <t>Living</t>
        </is>
      </c>
      <c r="H559" t="n">
        <v>7</v>
      </c>
      <c r="I559" s="11" t="n">
        <v>139</v>
      </c>
      <c r="J559" s="12" t="n">
        <v>0</v>
      </c>
      <c r="K559" s="11">
        <f>H559*I559*(1-J559)</f>
        <v/>
      </c>
      <c r="L559" s="11" t="n">
        <v>72</v>
      </c>
      <c r="M559" s="11">
        <f>K559-(H559*L559)</f>
        <v/>
      </c>
      <c r="N559" s="11">
        <f>H559*11</f>
        <v/>
      </c>
    </row>
    <row r="560">
      <c r="A560" t="inlineStr">
        <is>
          <t>LL-00559</t>
        </is>
      </c>
      <c r="B560" s="10" t="n">
        <v>46049</v>
      </c>
      <c r="C560" t="inlineStr">
        <is>
          <t>Jan</t>
        </is>
      </c>
      <c r="D560" t="inlineStr">
        <is>
          <t>North</t>
        </is>
      </c>
      <c r="E560" t="inlineStr">
        <is>
          <t>Retail</t>
        </is>
      </c>
      <c r="F560" t="inlineStr">
        <is>
          <t>Aurora Desk Lamp</t>
        </is>
      </c>
      <c r="G560" t="inlineStr">
        <is>
          <t>Lighting</t>
        </is>
      </c>
      <c r="H560" t="n">
        <v>6</v>
      </c>
      <c r="I560" s="11" t="n">
        <v>89</v>
      </c>
      <c r="J560" s="12" t="n">
        <v>0</v>
      </c>
      <c r="K560" s="11">
        <f>H560*I560*(1-J560)</f>
        <v/>
      </c>
      <c r="L560" s="11" t="n">
        <v>42</v>
      </c>
      <c r="M560" s="11">
        <f>K560-(H560*L560)</f>
        <v/>
      </c>
      <c r="N560" s="11">
        <f>H560*6</f>
        <v/>
      </c>
    </row>
    <row r="561">
      <c r="A561" t="inlineStr">
        <is>
          <t>LL-00560</t>
        </is>
      </c>
      <c r="B561" s="10" t="n">
        <v>46231</v>
      </c>
      <c r="C561" t="inlineStr">
        <is>
          <t>Jul</t>
        </is>
      </c>
      <c r="D561" t="inlineStr">
        <is>
          <t>West</t>
        </is>
      </c>
      <c r="E561" t="inlineStr">
        <is>
          <t>Marketplace</t>
        </is>
      </c>
      <c r="F561" t="inlineStr">
        <is>
          <t>Focus Monitor Stand</t>
        </is>
      </c>
      <c r="G561" t="inlineStr">
        <is>
          <t>Workspace</t>
        </is>
      </c>
      <c r="H561" t="n">
        <v>6</v>
      </c>
      <c r="I561" s="11" t="n">
        <v>79</v>
      </c>
      <c r="J561" s="12" t="n">
        <v>0.15</v>
      </c>
      <c r="K561" s="11">
        <f>H561*I561*(1-J561)</f>
        <v/>
      </c>
      <c r="L561" s="11" t="n">
        <v>36</v>
      </c>
      <c r="M561" s="11">
        <f>K561-(H561*L561)</f>
        <v/>
      </c>
      <c r="N561" s="11">
        <f>H561*15</f>
        <v/>
      </c>
    </row>
    <row r="562">
      <c r="A562" t="inlineStr">
        <is>
          <t>LL-00561</t>
        </is>
      </c>
      <c r="B562" s="10" t="n">
        <v>46023</v>
      </c>
      <c r="C562" t="inlineStr">
        <is>
          <t>Jan</t>
        </is>
      </c>
      <c r="D562" t="inlineStr">
        <is>
          <t>South</t>
        </is>
      </c>
      <c r="E562" t="inlineStr">
        <is>
          <t>Retail</t>
        </is>
      </c>
      <c r="F562" t="inlineStr">
        <is>
          <t>Nest Basket</t>
        </is>
      </c>
      <c r="G562" t="inlineStr">
        <is>
          <t>Living</t>
        </is>
      </c>
      <c r="H562" t="n">
        <v>2</v>
      </c>
      <c r="I562" s="11" t="n">
        <v>55</v>
      </c>
      <c r="J562" s="12" t="n">
        <v>0.05</v>
      </c>
      <c r="K562" s="11">
        <f>H562*I562*(1-J562)</f>
        <v/>
      </c>
      <c r="L562" s="11" t="n">
        <v>24</v>
      </c>
      <c r="M562" s="11">
        <f>K562-(H562*L562)</f>
        <v/>
      </c>
      <c r="N562" s="11">
        <f>H562*6</f>
        <v/>
      </c>
    </row>
    <row r="563">
      <c r="A563" t="inlineStr">
        <is>
          <t>LL-00562</t>
        </is>
      </c>
      <c r="B563" s="10" t="n">
        <v>46371</v>
      </c>
      <c r="C563" t="inlineStr">
        <is>
          <t>Dec</t>
        </is>
      </c>
      <c r="D563" t="inlineStr">
        <is>
          <t>East</t>
        </is>
      </c>
      <c r="E563" t="inlineStr">
        <is>
          <t>Online</t>
        </is>
      </c>
      <c r="F563" t="inlineStr">
        <is>
          <t>Focus Monitor Stand</t>
        </is>
      </c>
      <c r="G563" t="inlineStr">
        <is>
          <t>Workspace</t>
        </is>
      </c>
      <c r="H563" t="n">
        <v>6</v>
      </c>
      <c r="I563" s="11" t="n">
        <v>79</v>
      </c>
      <c r="J563" s="12" t="n">
        <v>0</v>
      </c>
      <c r="K563" s="11">
        <f>H563*I563*(1-J563)</f>
        <v/>
      </c>
      <c r="L563" s="11" t="n">
        <v>36</v>
      </c>
      <c r="M563" s="11">
        <f>K563-(H563*L563)</f>
        <v/>
      </c>
      <c r="N563" s="11">
        <f>H563*11</f>
        <v/>
      </c>
    </row>
    <row r="564">
      <c r="A564" t="inlineStr">
        <is>
          <t>LL-00563</t>
        </is>
      </c>
      <c r="B564" s="10" t="n">
        <v>46049</v>
      </c>
      <c r="C564" t="inlineStr">
        <is>
          <t>Jan</t>
        </is>
      </c>
      <c r="D564" t="inlineStr">
        <is>
          <t>South</t>
        </is>
      </c>
      <c r="E564" t="inlineStr">
        <is>
          <t>Retail</t>
        </is>
      </c>
      <c r="F564" t="inlineStr">
        <is>
          <t>Arc Side Table</t>
        </is>
      </c>
      <c r="G564" t="inlineStr">
        <is>
          <t>Living</t>
        </is>
      </c>
      <c r="H564" t="n">
        <v>4</v>
      </c>
      <c r="I564" s="11" t="n">
        <v>139</v>
      </c>
      <c r="J564" s="12" t="n">
        <v>0.05</v>
      </c>
      <c r="K564" s="11">
        <f>H564*I564*(1-J564)</f>
        <v/>
      </c>
      <c r="L564" s="11" t="n">
        <v>72</v>
      </c>
      <c r="M564" s="11">
        <f>K564-(H564*L564)</f>
        <v/>
      </c>
      <c r="N564" s="11">
        <f>H564*6</f>
        <v/>
      </c>
    </row>
    <row r="565">
      <c r="A565" t="inlineStr">
        <is>
          <t>LL-00564</t>
        </is>
      </c>
      <c r="B565" s="10" t="n">
        <v>46327</v>
      </c>
      <c r="C565" t="inlineStr">
        <is>
          <t>Nov</t>
        </is>
      </c>
      <c r="D565" t="inlineStr">
        <is>
          <t>North</t>
        </is>
      </c>
      <c r="E565" t="inlineStr">
        <is>
          <t>Retail</t>
        </is>
      </c>
      <c r="F565" t="inlineStr">
        <is>
          <t>Luna Throw</t>
        </is>
      </c>
      <c r="G565" t="inlineStr">
        <is>
          <t>Living</t>
        </is>
      </c>
      <c r="H565" t="n">
        <v>8</v>
      </c>
      <c r="I565" s="11" t="n">
        <v>69</v>
      </c>
      <c r="J565" s="12" t="n">
        <v>0.05</v>
      </c>
      <c r="K565" s="11">
        <f>H565*I565*(1-J565)</f>
        <v/>
      </c>
      <c r="L565" s="11" t="n">
        <v>31</v>
      </c>
      <c r="M565" s="11">
        <f>K565-(H565*L565)</f>
        <v/>
      </c>
      <c r="N565" s="11">
        <f>H565*6</f>
        <v/>
      </c>
    </row>
    <row r="566">
      <c r="A566" t="inlineStr">
        <is>
          <t>LL-00565</t>
        </is>
      </c>
      <c r="B566" s="10" t="n">
        <v>46228</v>
      </c>
      <c r="C566" t="inlineStr">
        <is>
          <t>Jul</t>
        </is>
      </c>
      <c r="D566" t="inlineStr">
        <is>
          <t>East</t>
        </is>
      </c>
      <c r="E566" t="inlineStr">
        <is>
          <t>Online</t>
        </is>
      </c>
      <c r="F566" t="inlineStr">
        <is>
          <t>Focus Monitor Stand</t>
        </is>
      </c>
      <c r="G566" t="inlineStr">
        <is>
          <t>Workspace</t>
        </is>
      </c>
      <c r="H566" t="n">
        <v>8</v>
      </c>
      <c r="I566" s="11" t="n">
        <v>79</v>
      </c>
      <c r="J566" s="12" t="n">
        <v>0</v>
      </c>
      <c r="K566" s="11">
        <f>H566*I566*(1-J566)</f>
        <v/>
      </c>
      <c r="L566" s="11" t="n">
        <v>36</v>
      </c>
      <c r="M566" s="11">
        <f>K566-(H566*L566)</f>
        <v/>
      </c>
      <c r="N566" s="11">
        <f>H566*11</f>
        <v/>
      </c>
    </row>
    <row r="567">
      <c r="A567" t="inlineStr">
        <is>
          <t>LL-00566</t>
        </is>
      </c>
      <c r="B567" s="10" t="n">
        <v>46242</v>
      </c>
      <c r="C567" t="inlineStr">
        <is>
          <t>Aug</t>
        </is>
      </c>
      <c r="D567" t="inlineStr">
        <is>
          <t>North</t>
        </is>
      </c>
      <c r="E567" t="inlineStr">
        <is>
          <t>Retail</t>
        </is>
      </c>
      <c r="F567" t="inlineStr">
        <is>
          <t>Arc Side Table</t>
        </is>
      </c>
      <c r="G567" t="inlineStr">
        <is>
          <t>Living</t>
        </is>
      </c>
      <c r="H567" t="n">
        <v>4</v>
      </c>
      <c r="I567" s="11" t="n">
        <v>139</v>
      </c>
      <c r="J567" s="12" t="n">
        <v>0.1</v>
      </c>
      <c r="K567" s="11">
        <f>H567*I567*(1-J567)</f>
        <v/>
      </c>
      <c r="L567" s="11" t="n">
        <v>72</v>
      </c>
      <c r="M567" s="11">
        <f>K567-(H567*L567)</f>
        <v/>
      </c>
      <c r="N567" s="11">
        <f>H567*6</f>
        <v/>
      </c>
    </row>
    <row r="568">
      <c r="A568" t="inlineStr">
        <is>
          <t>LL-00567</t>
        </is>
      </c>
      <c r="B568" s="10" t="n">
        <v>46067</v>
      </c>
      <c r="C568" t="inlineStr">
        <is>
          <t>Feb</t>
        </is>
      </c>
      <c r="D568" t="inlineStr">
        <is>
          <t>West</t>
        </is>
      </c>
      <c r="E568" t="inlineStr">
        <is>
          <t>Online</t>
        </is>
      </c>
      <c r="F568" t="inlineStr">
        <is>
          <t>Focus Monitor Stand</t>
        </is>
      </c>
      <c r="G568" t="inlineStr">
        <is>
          <t>Workspace</t>
        </is>
      </c>
      <c r="H568" t="n">
        <v>3</v>
      </c>
      <c r="I568" s="11" t="n">
        <v>79</v>
      </c>
      <c r="J568" s="12" t="n">
        <v>0.05</v>
      </c>
      <c r="K568" s="11">
        <f>H568*I568*(1-J568)</f>
        <v/>
      </c>
      <c r="L568" s="11" t="n">
        <v>36</v>
      </c>
      <c r="M568" s="11">
        <f>K568-(H568*L568)</f>
        <v/>
      </c>
      <c r="N568" s="11">
        <f>H568*11</f>
        <v/>
      </c>
    </row>
    <row r="569">
      <c r="A569" t="inlineStr">
        <is>
          <t>LL-00568</t>
        </is>
      </c>
      <c r="B569" s="10" t="n">
        <v>46263</v>
      </c>
      <c r="C569" t="inlineStr">
        <is>
          <t>Aug</t>
        </is>
      </c>
      <c r="D569" t="inlineStr">
        <is>
          <t>North</t>
        </is>
      </c>
      <c r="E569" t="inlineStr">
        <is>
          <t>Retail</t>
        </is>
      </c>
      <c r="F569" t="inlineStr">
        <is>
          <t>Arc Side Table</t>
        </is>
      </c>
      <c r="G569" t="inlineStr">
        <is>
          <t>Living</t>
        </is>
      </c>
      <c r="H569" t="n">
        <v>3</v>
      </c>
      <c r="I569" s="11" t="n">
        <v>139</v>
      </c>
      <c r="J569" s="12" t="n">
        <v>0.2</v>
      </c>
      <c r="K569" s="11">
        <f>H569*I569*(1-J569)</f>
        <v/>
      </c>
      <c r="L569" s="11" t="n">
        <v>72</v>
      </c>
      <c r="M569" s="11">
        <f>K569-(H569*L569)</f>
        <v/>
      </c>
      <c r="N569" s="11">
        <f>H569*6</f>
        <v/>
      </c>
    </row>
    <row r="570">
      <c r="A570" t="inlineStr">
        <is>
          <t>LL-00569</t>
        </is>
      </c>
      <c r="B570" s="10" t="n">
        <v>46270</v>
      </c>
      <c r="C570" t="inlineStr">
        <is>
          <t>Sep</t>
        </is>
      </c>
      <c r="D570" t="inlineStr">
        <is>
          <t>South</t>
        </is>
      </c>
      <c r="E570" t="inlineStr">
        <is>
          <t>Retail</t>
        </is>
      </c>
      <c r="F570" t="inlineStr">
        <is>
          <t>Nest Basket</t>
        </is>
      </c>
      <c r="G570" t="inlineStr">
        <is>
          <t>Living</t>
        </is>
      </c>
      <c r="H570" t="n">
        <v>3</v>
      </c>
      <c r="I570" s="11" t="n">
        <v>55</v>
      </c>
      <c r="J570" s="12" t="n">
        <v>0.15</v>
      </c>
      <c r="K570" s="11">
        <f>H570*I570*(1-J570)</f>
        <v/>
      </c>
      <c r="L570" s="11" t="n">
        <v>24</v>
      </c>
      <c r="M570" s="11">
        <f>K570-(H570*L570)</f>
        <v/>
      </c>
      <c r="N570" s="11">
        <f>H570*6</f>
        <v/>
      </c>
    </row>
    <row r="571">
      <c r="A571" t="inlineStr">
        <is>
          <t>LL-00570</t>
        </is>
      </c>
      <c r="B571" s="10" t="n">
        <v>46354</v>
      </c>
      <c r="C571" t="inlineStr">
        <is>
          <t>Nov</t>
        </is>
      </c>
      <c r="D571" t="inlineStr">
        <is>
          <t>South</t>
        </is>
      </c>
      <c r="E571" t="inlineStr">
        <is>
          <t>Marketplace</t>
        </is>
      </c>
      <c r="F571" t="inlineStr">
        <is>
          <t>Aurora Desk Lamp</t>
        </is>
      </c>
      <c r="G571" t="inlineStr">
        <is>
          <t>Lighting</t>
        </is>
      </c>
      <c r="H571" t="n">
        <v>4</v>
      </c>
      <c r="I571" s="11" t="n">
        <v>89</v>
      </c>
      <c r="J571" s="12" t="n">
        <v>0.05</v>
      </c>
      <c r="K571" s="11">
        <f>H571*I571*(1-J571)</f>
        <v/>
      </c>
      <c r="L571" s="11" t="n">
        <v>42</v>
      </c>
      <c r="M571" s="11">
        <f>K571-(H571*L571)</f>
        <v/>
      </c>
      <c r="N571" s="11">
        <f>H571*15</f>
        <v/>
      </c>
    </row>
    <row r="572">
      <c r="A572" t="inlineStr">
        <is>
          <t>LL-00571</t>
        </is>
      </c>
      <c r="B572" s="10" t="n">
        <v>46279</v>
      </c>
      <c r="C572" t="inlineStr">
        <is>
          <t>Sep</t>
        </is>
      </c>
      <c r="D572" t="inlineStr">
        <is>
          <t>East</t>
        </is>
      </c>
      <c r="E572" t="inlineStr">
        <is>
          <t>Retail</t>
        </is>
      </c>
      <c r="F572" t="inlineStr">
        <is>
          <t>Arc Side Table</t>
        </is>
      </c>
      <c r="G572" t="inlineStr">
        <is>
          <t>Living</t>
        </is>
      </c>
      <c r="H572" t="n">
        <v>1</v>
      </c>
      <c r="I572" s="11" t="n">
        <v>139</v>
      </c>
      <c r="J572" s="12" t="n">
        <v>0.1</v>
      </c>
      <c r="K572" s="11">
        <f>H572*I572*(1-J572)</f>
        <v/>
      </c>
      <c r="L572" s="11" t="n">
        <v>72</v>
      </c>
      <c r="M572" s="11">
        <f>K572-(H572*L572)</f>
        <v/>
      </c>
      <c r="N572" s="11">
        <f>H572*6</f>
        <v/>
      </c>
    </row>
    <row r="573">
      <c r="A573" t="inlineStr">
        <is>
          <t>LL-00572</t>
        </is>
      </c>
      <c r="B573" s="10" t="n">
        <v>46226</v>
      </c>
      <c r="C573" t="inlineStr">
        <is>
          <t>Jul</t>
        </is>
      </c>
      <c r="D573" t="inlineStr">
        <is>
          <t>East</t>
        </is>
      </c>
      <c r="E573" t="inlineStr">
        <is>
          <t>Retail</t>
        </is>
      </c>
      <c r="F573" t="inlineStr">
        <is>
          <t>Aurora Desk Lamp</t>
        </is>
      </c>
      <c r="G573" t="inlineStr">
        <is>
          <t>Lighting</t>
        </is>
      </c>
      <c r="H573" t="n">
        <v>1</v>
      </c>
      <c r="I573" s="11" t="n">
        <v>89</v>
      </c>
      <c r="J573" s="12" t="n">
        <v>0.1</v>
      </c>
      <c r="K573" s="11">
        <f>H573*I573*(1-J573)</f>
        <v/>
      </c>
      <c r="L573" s="11" t="n">
        <v>42</v>
      </c>
      <c r="M573" s="11">
        <f>K573-(H573*L573)</f>
        <v/>
      </c>
      <c r="N573" s="11">
        <f>H573*6</f>
        <v/>
      </c>
    </row>
    <row r="574">
      <c r="A574" t="inlineStr">
        <is>
          <t>LL-00573</t>
        </is>
      </c>
      <c r="B574" s="10" t="n">
        <v>46344</v>
      </c>
      <c r="C574" t="inlineStr">
        <is>
          <t>Nov</t>
        </is>
      </c>
      <c r="D574" t="inlineStr">
        <is>
          <t>South</t>
        </is>
      </c>
      <c r="E574" t="inlineStr">
        <is>
          <t>Retail</t>
        </is>
      </c>
      <c r="F574" t="inlineStr">
        <is>
          <t>Halo Floor Lamp</t>
        </is>
      </c>
      <c r="G574" t="inlineStr">
        <is>
          <t>Lighting</t>
        </is>
      </c>
      <c r="H574" t="n">
        <v>2</v>
      </c>
      <c r="I574" s="11" t="n">
        <v>159</v>
      </c>
      <c r="J574" s="12" t="n">
        <v>0.1</v>
      </c>
      <c r="K574" s="11">
        <f>H574*I574*(1-J574)</f>
        <v/>
      </c>
      <c r="L574" s="11" t="n">
        <v>79</v>
      </c>
      <c r="M574" s="11">
        <f>K574-(H574*L574)</f>
        <v/>
      </c>
      <c r="N574" s="11">
        <f>H574*6</f>
        <v/>
      </c>
    </row>
    <row r="575">
      <c r="A575" t="inlineStr">
        <is>
          <t>LL-00574</t>
        </is>
      </c>
      <c r="B575" s="10" t="n">
        <v>46045</v>
      </c>
      <c r="C575" t="inlineStr">
        <is>
          <t>Jan</t>
        </is>
      </c>
      <c r="D575" t="inlineStr">
        <is>
          <t>West</t>
        </is>
      </c>
      <c r="E575" t="inlineStr">
        <is>
          <t>Retail</t>
        </is>
      </c>
      <c r="F575" t="inlineStr">
        <is>
          <t>Aurora Desk Lamp</t>
        </is>
      </c>
      <c r="G575" t="inlineStr">
        <is>
          <t>Lighting</t>
        </is>
      </c>
      <c r="H575" t="n">
        <v>7</v>
      </c>
      <c r="I575" s="11" t="n">
        <v>89</v>
      </c>
      <c r="J575" s="12" t="n">
        <v>0.15</v>
      </c>
      <c r="K575" s="11">
        <f>H575*I575*(1-J575)</f>
        <v/>
      </c>
      <c r="L575" s="11" t="n">
        <v>42</v>
      </c>
      <c r="M575" s="11">
        <f>K575-(H575*L575)</f>
        <v/>
      </c>
      <c r="N575" s="11">
        <f>H575*6</f>
        <v/>
      </c>
    </row>
    <row r="576">
      <c r="A576" t="inlineStr">
        <is>
          <t>LL-00575</t>
        </is>
      </c>
      <c r="B576" s="10" t="n">
        <v>46254</v>
      </c>
      <c r="C576" t="inlineStr">
        <is>
          <t>Aug</t>
        </is>
      </c>
      <c r="D576" t="inlineStr">
        <is>
          <t>East</t>
        </is>
      </c>
      <c r="E576" t="inlineStr">
        <is>
          <t>Online</t>
        </is>
      </c>
      <c r="F576" t="inlineStr">
        <is>
          <t>Halo Floor Lamp</t>
        </is>
      </c>
      <c r="G576" t="inlineStr">
        <is>
          <t>Lighting</t>
        </is>
      </c>
      <c r="H576" t="n">
        <v>6</v>
      </c>
      <c r="I576" s="11" t="n">
        <v>159</v>
      </c>
      <c r="J576" s="12" t="n">
        <v>0.15</v>
      </c>
      <c r="K576" s="11">
        <f>H576*I576*(1-J576)</f>
        <v/>
      </c>
      <c r="L576" s="11" t="n">
        <v>79</v>
      </c>
      <c r="M576" s="11">
        <f>K576-(H576*L576)</f>
        <v/>
      </c>
      <c r="N576" s="11">
        <f>H576*11</f>
        <v/>
      </c>
    </row>
    <row r="577">
      <c r="A577" t="inlineStr">
        <is>
          <t>LL-00576</t>
        </is>
      </c>
      <c r="B577" s="10" t="n">
        <v>46228</v>
      </c>
      <c r="C577" t="inlineStr">
        <is>
          <t>Jul</t>
        </is>
      </c>
      <c r="D577" t="inlineStr">
        <is>
          <t>South</t>
        </is>
      </c>
      <c r="E577" t="inlineStr">
        <is>
          <t>Marketplace</t>
        </is>
      </c>
      <c r="F577" t="inlineStr">
        <is>
          <t>Focus Monitor Stand</t>
        </is>
      </c>
      <c r="G577" t="inlineStr">
        <is>
          <t>Workspace</t>
        </is>
      </c>
      <c r="H577" t="n">
        <v>5</v>
      </c>
      <c r="I577" s="11" t="n">
        <v>79</v>
      </c>
      <c r="J577" s="12" t="n">
        <v>0.05</v>
      </c>
      <c r="K577" s="11">
        <f>H577*I577*(1-J577)</f>
        <v/>
      </c>
      <c r="L577" s="11" t="n">
        <v>36</v>
      </c>
      <c r="M577" s="11">
        <f>K577-(H577*L577)</f>
        <v/>
      </c>
      <c r="N577" s="11">
        <f>H577*15</f>
        <v/>
      </c>
    </row>
    <row r="578">
      <c r="A578" t="inlineStr">
        <is>
          <t>LL-00577</t>
        </is>
      </c>
      <c r="B578" s="10" t="n">
        <v>46126</v>
      </c>
      <c r="C578" t="inlineStr">
        <is>
          <t>Apr</t>
        </is>
      </c>
      <c r="D578" t="inlineStr">
        <is>
          <t>West</t>
        </is>
      </c>
      <c r="E578" t="inlineStr">
        <is>
          <t>Online</t>
        </is>
      </c>
      <c r="F578" t="inlineStr">
        <is>
          <t>Aurora Desk Lamp</t>
        </is>
      </c>
      <c r="G578" t="inlineStr">
        <is>
          <t>Lighting</t>
        </is>
      </c>
      <c r="H578" t="n">
        <v>5</v>
      </c>
      <c r="I578" s="11" t="n">
        <v>89</v>
      </c>
      <c r="J578" s="12" t="n">
        <v>0.1</v>
      </c>
      <c r="K578" s="11">
        <f>H578*I578*(1-J578)</f>
        <v/>
      </c>
      <c r="L578" s="11" t="n">
        <v>42</v>
      </c>
      <c r="M578" s="11">
        <f>K578-(H578*L578)</f>
        <v/>
      </c>
      <c r="N578" s="11">
        <f>H578*11</f>
        <v/>
      </c>
    </row>
    <row r="579">
      <c r="A579" t="inlineStr">
        <is>
          <t>LL-00578</t>
        </is>
      </c>
      <c r="B579" s="10" t="n">
        <v>46242</v>
      </c>
      <c r="C579" t="inlineStr">
        <is>
          <t>Aug</t>
        </is>
      </c>
      <c r="D579" t="inlineStr">
        <is>
          <t>West</t>
        </is>
      </c>
      <c r="E579" t="inlineStr">
        <is>
          <t>Online</t>
        </is>
      </c>
      <c r="F579" t="inlineStr">
        <is>
          <t>Focus Monitor Stand</t>
        </is>
      </c>
      <c r="G579" t="inlineStr">
        <is>
          <t>Workspace</t>
        </is>
      </c>
      <c r="H579" t="n">
        <v>3</v>
      </c>
      <c r="I579" s="11" t="n">
        <v>79</v>
      </c>
      <c r="J579" s="12" t="n">
        <v>0.1</v>
      </c>
      <c r="K579" s="11">
        <f>H579*I579*(1-J579)</f>
        <v/>
      </c>
      <c r="L579" s="11" t="n">
        <v>36</v>
      </c>
      <c r="M579" s="11">
        <f>K579-(H579*L579)</f>
        <v/>
      </c>
      <c r="N579" s="11">
        <f>H579*11</f>
        <v/>
      </c>
    </row>
    <row r="580">
      <c r="A580" t="inlineStr">
        <is>
          <t>LL-00579</t>
        </is>
      </c>
      <c r="B580" s="10" t="n">
        <v>46113</v>
      </c>
      <c r="C580" t="inlineStr">
        <is>
          <t>Apr</t>
        </is>
      </c>
      <c r="D580" t="inlineStr">
        <is>
          <t>North</t>
        </is>
      </c>
      <c r="E580" t="inlineStr">
        <is>
          <t>Retail</t>
        </is>
      </c>
      <c r="F580" t="inlineStr">
        <is>
          <t>Aurora Desk Lamp</t>
        </is>
      </c>
      <c r="G580" t="inlineStr">
        <is>
          <t>Lighting</t>
        </is>
      </c>
      <c r="H580" t="n">
        <v>8</v>
      </c>
      <c r="I580" s="11" t="n">
        <v>89</v>
      </c>
      <c r="J580" s="12" t="n">
        <v>0.1</v>
      </c>
      <c r="K580" s="11">
        <f>H580*I580*(1-J580)</f>
        <v/>
      </c>
      <c r="L580" s="11" t="n">
        <v>42</v>
      </c>
      <c r="M580" s="11">
        <f>K580-(H580*L580)</f>
        <v/>
      </c>
      <c r="N580" s="11">
        <f>H580*6</f>
        <v/>
      </c>
    </row>
    <row r="581">
      <c r="A581" t="inlineStr">
        <is>
          <t>LL-00580</t>
        </is>
      </c>
      <c r="B581" s="10" t="n">
        <v>46165</v>
      </c>
      <c r="C581" t="inlineStr">
        <is>
          <t>May</t>
        </is>
      </c>
      <c r="D581" t="inlineStr">
        <is>
          <t>East</t>
        </is>
      </c>
      <c r="E581" t="inlineStr">
        <is>
          <t>Online</t>
        </is>
      </c>
      <c r="F581" t="inlineStr">
        <is>
          <t>Luna Throw</t>
        </is>
      </c>
      <c r="G581" t="inlineStr">
        <is>
          <t>Living</t>
        </is>
      </c>
      <c r="H581" t="n">
        <v>2</v>
      </c>
      <c r="I581" s="11" t="n">
        <v>69</v>
      </c>
      <c r="J581" s="12" t="n">
        <v>0.05</v>
      </c>
      <c r="K581" s="11">
        <f>H581*I581*(1-J581)</f>
        <v/>
      </c>
      <c r="L581" s="11" t="n">
        <v>31</v>
      </c>
      <c r="M581" s="11">
        <f>K581-(H581*L581)</f>
        <v/>
      </c>
      <c r="N581" s="11">
        <f>H581*11</f>
        <v/>
      </c>
    </row>
    <row r="582">
      <c r="A582" t="inlineStr">
        <is>
          <t>LL-00581</t>
        </is>
      </c>
      <c r="B582" s="10" t="n">
        <v>46260</v>
      </c>
      <c r="C582" t="inlineStr">
        <is>
          <t>Aug</t>
        </is>
      </c>
      <c r="D582" t="inlineStr">
        <is>
          <t>North</t>
        </is>
      </c>
      <c r="E582" t="inlineStr">
        <is>
          <t>Marketplace</t>
        </is>
      </c>
      <c r="F582" t="inlineStr">
        <is>
          <t>Nest Basket</t>
        </is>
      </c>
      <c r="G582" t="inlineStr">
        <is>
          <t>Living</t>
        </is>
      </c>
      <c r="H582" t="n">
        <v>8</v>
      </c>
      <c r="I582" s="11" t="n">
        <v>55</v>
      </c>
      <c r="J582" s="12" t="n">
        <v>0.05</v>
      </c>
      <c r="K582" s="11">
        <f>H582*I582*(1-J582)</f>
        <v/>
      </c>
      <c r="L582" s="11" t="n">
        <v>24</v>
      </c>
      <c r="M582" s="11">
        <f>K582-(H582*L582)</f>
        <v/>
      </c>
      <c r="N582" s="11">
        <f>H582*15</f>
        <v/>
      </c>
    </row>
    <row r="583">
      <c r="A583" t="inlineStr">
        <is>
          <t>LL-00582</t>
        </is>
      </c>
      <c r="B583" s="10" t="n">
        <v>46381</v>
      </c>
      <c r="C583" t="inlineStr">
        <is>
          <t>Dec</t>
        </is>
      </c>
      <c r="D583" t="inlineStr">
        <is>
          <t>South</t>
        </is>
      </c>
      <c r="E583" t="inlineStr">
        <is>
          <t>Online</t>
        </is>
      </c>
      <c r="F583" t="inlineStr">
        <is>
          <t>Halo Floor Lamp</t>
        </is>
      </c>
      <c r="G583" t="inlineStr">
        <is>
          <t>Lighting</t>
        </is>
      </c>
      <c r="H583" t="n">
        <v>1</v>
      </c>
      <c r="I583" s="11" t="n">
        <v>159</v>
      </c>
      <c r="J583" s="12" t="n">
        <v>0.15</v>
      </c>
      <c r="K583" s="11">
        <f>H583*I583*(1-J583)</f>
        <v/>
      </c>
      <c r="L583" s="11" t="n">
        <v>79</v>
      </c>
      <c r="M583" s="11">
        <f>K583-(H583*L583)</f>
        <v/>
      </c>
      <c r="N583" s="11">
        <f>H583*11</f>
        <v/>
      </c>
    </row>
    <row r="584">
      <c r="A584" t="inlineStr">
        <is>
          <t>LL-00583</t>
        </is>
      </c>
      <c r="B584" s="10" t="n">
        <v>46300</v>
      </c>
      <c r="C584" t="inlineStr">
        <is>
          <t>Oct</t>
        </is>
      </c>
      <c r="D584" t="inlineStr">
        <is>
          <t>North</t>
        </is>
      </c>
      <c r="E584" t="inlineStr">
        <is>
          <t>Retail</t>
        </is>
      </c>
      <c r="F584" t="inlineStr">
        <is>
          <t>Nest Basket</t>
        </is>
      </c>
      <c r="G584" t="inlineStr">
        <is>
          <t>Living</t>
        </is>
      </c>
      <c r="H584" t="n">
        <v>1</v>
      </c>
      <c r="I584" s="11" t="n">
        <v>55</v>
      </c>
      <c r="J584" s="12" t="n">
        <v>0</v>
      </c>
      <c r="K584" s="11">
        <f>H584*I584*(1-J584)</f>
        <v/>
      </c>
      <c r="L584" s="11" t="n">
        <v>24</v>
      </c>
      <c r="M584" s="11">
        <f>K584-(H584*L584)</f>
        <v/>
      </c>
      <c r="N584" s="11">
        <f>H584*6</f>
        <v/>
      </c>
    </row>
    <row r="585">
      <c r="A585" t="inlineStr">
        <is>
          <t>LL-00584</t>
        </is>
      </c>
      <c r="B585" s="10" t="n">
        <v>46180</v>
      </c>
      <c r="C585" t="inlineStr">
        <is>
          <t>Jun</t>
        </is>
      </c>
      <c r="D585" t="inlineStr">
        <is>
          <t>South</t>
        </is>
      </c>
      <c r="E585" t="inlineStr">
        <is>
          <t>Online</t>
        </is>
      </c>
      <c r="F585" t="inlineStr">
        <is>
          <t>Halo Floor Lamp</t>
        </is>
      </c>
      <c r="G585" t="inlineStr">
        <is>
          <t>Lighting</t>
        </is>
      </c>
      <c r="H585" t="n">
        <v>5</v>
      </c>
      <c r="I585" s="11" t="n">
        <v>159</v>
      </c>
      <c r="J585" s="12" t="n">
        <v>0</v>
      </c>
      <c r="K585" s="11">
        <f>H585*I585*(1-J585)</f>
        <v/>
      </c>
      <c r="L585" s="11" t="n">
        <v>79</v>
      </c>
      <c r="M585" s="11">
        <f>K585-(H585*L585)</f>
        <v/>
      </c>
      <c r="N585" s="11">
        <f>H585*11</f>
        <v/>
      </c>
    </row>
    <row r="586">
      <c r="A586" t="inlineStr">
        <is>
          <t>LL-00585</t>
        </is>
      </c>
      <c r="B586" s="10" t="n">
        <v>46354</v>
      </c>
      <c r="C586" t="inlineStr">
        <is>
          <t>Nov</t>
        </is>
      </c>
      <c r="D586" t="inlineStr">
        <is>
          <t>South</t>
        </is>
      </c>
      <c r="E586" t="inlineStr">
        <is>
          <t>Retail</t>
        </is>
      </c>
      <c r="F586" t="inlineStr">
        <is>
          <t>Arc Side Table</t>
        </is>
      </c>
      <c r="G586" t="inlineStr">
        <is>
          <t>Living</t>
        </is>
      </c>
      <c r="H586" t="n">
        <v>8</v>
      </c>
      <c r="I586" s="11" t="n">
        <v>139</v>
      </c>
      <c r="J586" s="12" t="n">
        <v>0.1</v>
      </c>
      <c r="K586" s="11">
        <f>H586*I586*(1-J586)</f>
        <v/>
      </c>
      <c r="L586" s="11" t="n">
        <v>72</v>
      </c>
      <c r="M586" s="11">
        <f>K586-(H586*L586)</f>
        <v/>
      </c>
      <c r="N586" s="11">
        <f>H586*6</f>
        <v/>
      </c>
    </row>
    <row r="587">
      <c r="A587" t="inlineStr">
        <is>
          <t>LL-00586</t>
        </is>
      </c>
      <c r="B587" s="10" t="n">
        <v>46136</v>
      </c>
      <c r="C587" t="inlineStr">
        <is>
          <t>Apr</t>
        </is>
      </c>
      <c r="D587" t="inlineStr">
        <is>
          <t>South</t>
        </is>
      </c>
      <c r="E587" t="inlineStr">
        <is>
          <t>Online</t>
        </is>
      </c>
      <c r="F587" t="inlineStr">
        <is>
          <t>Halo Floor Lamp</t>
        </is>
      </c>
      <c r="G587" t="inlineStr">
        <is>
          <t>Lighting</t>
        </is>
      </c>
      <c r="H587" t="n">
        <v>1</v>
      </c>
      <c r="I587" s="11" t="n">
        <v>159</v>
      </c>
      <c r="J587" s="12" t="n">
        <v>0</v>
      </c>
      <c r="K587" s="11">
        <f>H587*I587*(1-J587)</f>
        <v/>
      </c>
      <c r="L587" s="11" t="n">
        <v>79</v>
      </c>
      <c r="M587" s="11">
        <f>K587-(H587*L587)</f>
        <v/>
      </c>
      <c r="N587" s="11">
        <f>H587*11</f>
        <v/>
      </c>
    </row>
    <row r="588">
      <c r="A588" t="inlineStr">
        <is>
          <t>LL-00587</t>
        </is>
      </c>
      <c r="B588" s="10" t="n">
        <v>46096</v>
      </c>
      <c r="C588" t="inlineStr">
        <is>
          <t>Mar</t>
        </is>
      </c>
      <c r="D588" t="inlineStr">
        <is>
          <t>East</t>
        </is>
      </c>
      <c r="E588" t="inlineStr">
        <is>
          <t>Retail</t>
        </is>
      </c>
      <c r="F588" t="inlineStr">
        <is>
          <t>Luna Throw</t>
        </is>
      </c>
      <c r="G588" t="inlineStr">
        <is>
          <t>Living</t>
        </is>
      </c>
      <c r="H588" t="n">
        <v>2</v>
      </c>
      <c r="I588" s="11" t="n">
        <v>69</v>
      </c>
      <c r="J588" s="12" t="n">
        <v>0.1</v>
      </c>
      <c r="K588" s="11">
        <f>H588*I588*(1-J588)</f>
        <v/>
      </c>
      <c r="L588" s="11" t="n">
        <v>31</v>
      </c>
      <c r="M588" s="11">
        <f>K588-(H588*L588)</f>
        <v/>
      </c>
      <c r="N588" s="11">
        <f>H588*6</f>
        <v/>
      </c>
    </row>
    <row r="589">
      <c r="A589" t="inlineStr">
        <is>
          <t>LL-00588</t>
        </is>
      </c>
      <c r="B589" s="10" t="n">
        <v>46114</v>
      </c>
      <c r="C589" t="inlineStr">
        <is>
          <t>Apr</t>
        </is>
      </c>
      <c r="D589" t="inlineStr">
        <is>
          <t>South</t>
        </is>
      </c>
      <c r="E589" t="inlineStr">
        <is>
          <t>Online</t>
        </is>
      </c>
      <c r="F589" t="inlineStr">
        <is>
          <t>Focus Monitor Stand</t>
        </is>
      </c>
      <c r="G589" t="inlineStr">
        <is>
          <t>Workspace</t>
        </is>
      </c>
      <c r="H589" t="n">
        <v>6</v>
      </c>
      <c r="I589" s="11" t="n">
        <v>79</v>
      </c>
      <c r="J589" s="12" t="n">
        <v>0.15</v>
      </c>
      <c r="K589" s="11">
        <f>H589*I589*(1-J589)</f>
        <v/>
      </c>
      <c r="L589" s="11" t="n">
        <v>36</v>
      </c>
      <c r="M589" s="11">
        <f>K589-(H589*L589)</f>
        <v/>
      </c>
      <c r="N589" s="11">
        <f>H589*11</f>
        <v/>
      </c>
    </row>
    <row r="590">
      <c r="A590" t="inlineStr">
        <is>
          <t>LL-00589</t>
        </is>
      </c>
      <c r="B590" s="10" t="n">
        <v>46382</v>
      </c>
      <c r="C590" t="inlineStr">
        <is>
          <t>Dec</t>
        </is>
      </c>
      <c r="D590" t="inlineStr">
        <is>
          <t>North</t>
        </is>
      </c>
      <c r="E590" t="inlineStr">
        <is>
          <t>Retail</t>
        </is>
      </c>
      <c r="F590" t="inlineStr">
        <is>
          <t>Aurora Desk Lamp</t>
        </is>
      </c>
      <c r="G590" t="inlineStr">
        <is>
          <t>Lighting</t>
        </is>
      </c>
      <c r="H590" t="n">
        <v>4</v>
      </c>
      <c r="I590" s="11" t="n">
        <v>89</v>
      </c>
      <c r="J590" s="12" t="n">
        <v>0</v>
      </c>
      <c r="K590" s="11">
        <f>H590*I590*(1-J590)</f>
        <v/>
      </c>
      <c r="L590" s="11" t="n">
        <v>42</v>
      </c>
      <c r="M590" s="11">
        <f>K590-(H590*L590)</f>
        <v/>
      </c>
      <c r="N590" s="11">
        <f>H590*6</f>
        <v/>
      </c>
    </row>
    <row r="591">
      <c r="A591" t="inlineStr">
        <is>
          <t>LL-00590</t>
        </is>
      </c>
      <c r="B591" s="10" t="n">
        <v>46322</v>
      </c>
      <c r="C591" t="inlineStr">
        <is>
          <t>Oct</t>
        </is>
      </c>
      <c r="D591" t="inlineStr">
        <is>
          <t>East</t>
        </is>
      </c>
      <c r="E591" t="inlineStr">
        <is>
          <t>Online</t>
        </is>
      </c>
      <c r="F591" t="inlineStr">
        <is>
          <t>Arc Side Table</t>
        </is>
      </c>
      <c r="G591" t="inlineStr">
        <is>
          <t>Living</t>
        </is>
      </c>
      <c r="H591" t="n">
        <v>6</v>
      </c>
      <c r="I591" s="11" t="n">
        <v>139</v>
      </c>
      <c r="J591" s="12" t="n">
        <v>0.05</v>
      </c>
      <c r="K591" s="11">
        <f>H591*I591*(1-J591)</f>
        <v/>
      </c>
      <c r="L591" s="11" t="n">
        <v>72</v>
      </c>
      <c r="M591" s="11">
        <f>K591-(H591*L591)</f>
        <v/>
      </c>
      <c r="N591" s="11">
        <f>H591*11</f>
        <v/>
      </c>
    </row>
    <row r="592">
      <c r="A592" t="inlineStr">
        <is>
          <t>LL-00591</t>
        </is>
      </c>
      <c r="B592" s="10" t="n">
        <v>46347</v>
      </c>
      <c r="C592" t="inlineStr">
        <is>
          <t>Nov</t>
        </is>
      </c>
      <c r="D592" t="inlineStr">
        <is>
          <t>East</t>
        </is>
      </c>
      <c r="E592" t="inlineStr">
        <is>
          <t>Online</t>
        </is>
      </c>
      <c r="F592" t="inlineStr">
        <is>
          <t>Arc Side Table</t>
        </is>
      </c>
      <c r="G592" t="inlineStr">
        <is>
          <t>Living</t>
        </is>
      </c>
      <c r="H592" t="n">
        <v>2</v>
      </c>
      <c r="I592" s="11" t="n">
        <v>139</v>
      </c>
      <c r="J592" s="12" t="n">
        <v>0.05</v>
      </c>
      <c r="K592" s="11">
        <f>H592*I592*(1-J592)</f>
        <v/>
      </c>
      <c r="L592" s="11" t="n">
        <v>72</v>
      </c>
      <c r="M592" s="11">
        <f>K592-(H592*L592)</f>
        <v/>
      </c>
      <c r="N592" s="11">
        <f>H592*11</f>
        <v/>
      </c>
    </row>
    <row r="593">
      <c r="A593" t="inlineStr">
        <is>
          <t>LL-00592</t>
        </is>
      </c>
      <c r="B593" s="10" t="n">
        <v>46321</v>
      </c>
      <c r="C593" t="inlineStr">
        <is>
          <t>Oct</t>
        </is>
      </c>
      <c r="D593" t="inlineStr">
        <is>
          <t>West</t>
        </is>
      </c>
      <c r="E593" t="inlineStr">
        <is>
          <t>Online</t>
        </is>
      </c>
      <c r="F593" t="inlineStr">
        <is>
          <t>Nest Basket</t>
        </is>
      </c>
      <c r="G593" t="inlineStr">
        <is>
          <t>Living</t>
        </is>
      </c>
      <c r="H593" t="n">
        <v>5</v>
      </c>
      <c r="I593" s="11" t="n">
        <v>55</v>
      </c>
      <c r="J593" s="12" t="n">
        <v>0.1</v>
      </c>
      <c r="K593" s="11">
        <f>H593*I593*(1-J593)</f>
        <v/>
      </c>
      <c r="L593" s="11" t="n">
        <v>24</v>
      </c>
      <c r="M593" s="11">
        <f>K593-(H593*L593)</f>
        <v/>
      </c>
      <c r="N593" s="11">
        <f>H593*11</f>
        <v/>
      </c>
    </row>
    <row r="594">
      <c r="A594" t="inlineStr">
        <is>
          <t>LL-00593</t>
        </is>
      </c>
      <c r="B594" s="10" t="n">
        <v>46064</v>
      </c>
      <c r="C594" t="inlineStr">
        <is>
          <t>Feb</t>
        </is>
      </c>
      <c r="D594" t="inlineStr">
        <is>
          <t>West</t>
        </is>
      </c>
      <c r="E594" t="inlineStr">
        <is>
          <t>Online</t>
        </is>
      </c>
      <c r="F594" t="inlineStr">
        <is>
          <t>Aurora Desk Lamp</t>
        </is>
      </c>
      <c r="G594" t="inlineStr">
        <is>
          <t>Lighting</t>
        </is>
      </c>
      <c r="H594" t="n">
        <v>5</v>
      </c>
      <c r="I594" s="11" t="n">
        <v>89</v>
      </c>
      <c r="J594" s="12" t="n">
        <v>0.15</v>
      </c>
      <c r="K594" s="11">
        <f>H594*I594*(1-J594)</f>
        <v/>
      </c>
      <c r="L594" s="11" t="n">
        <v>42</v>
      </c>
      <c r="M594" s="11">
        <f>K594-(H594*L594)</f>
        <v/>
      </c>
      <c r="N594" s="11">
        <f>H594*11</f>
        <v/>
      </c>
    </row>
    <row r="595">
      <c r="A595" t="inlineStr">
        <is>
          <t>LL-00594</t>
        </is>
      </c>
      <c r="B595" s="10" t="n">
        <v>46207</v>
      </c>
      <c r="C595" t="inlineStr">
        <is>
          <t>Jul</t>
        </is>
      </c>
      <c r="D595" t="inlineStr">
        <is>
          <t>North</t>
        </is>
      </c>
      <c r="E595" t="inlineStr">
        <is>
          <t>Online</t>
        </is>
      </c>
      <c r="F595" t="inlineStr">
        <is>
          <t>Focus Monitor Stand</t>
        </is>
      </c>
      <c r="G595" t="inlineStr">
        <is>
          <t>Workspace</t>
        </is>
      </c>
      <c r="H595" t="n">
        <v>5</v>
      </c>
      <c r="I595" s="11" t="n">
        <v>79</v>
      </c>
      <c r="J595" s="12" t="n">
        <v>0.1</v>
      </c>
      <c r="K595" s="11">
        <f>H595*I595*(1-J595)</f>
        <v/>
      </c>
      <c r="L595" s="11" t="n">
        <v>36</v>
      </c>
      <c r="M595" s="11">
        <f>K595-(H595*L595)</f>
        <v/>
      </c>
      <c r="N595" s="11">
        <f>H595*11</f>
        <v/>
      </c>
    </row>
    <row r="596">
      <c r="A596" t="inlineStr">
        <is>
          <t>LL-00595</t>
        </is>
      </c>
      <c r="B596" s="10" t="n">
        <v>46302</v>
      </c>
      <c r="C596" t="inlineStr">
        <is>
          <t>Oct</t>
        </is>
      </c>
      <c r="D596" t="inlineStr">
        <is>
          <t>West</t>
        </is>
      </c>
      <c r="E596" t="inlineStr">
        <is>
          <t>Marketplace</t>
        </is>
      </c>
      <c r="F596" t="inlineStr">
        <is>
          <t>Focus Monitor Stand</t>
        </is>
      </c>
      <c r="G596" t="inlineStr">
        <is>
          <t>Workspace</t>
        </is>
      </c>
      <c r="H596" t="n">
        <v>4</v>
      </c>
      <c r="I596" s="11" t="n">
        <v>79</v>
      </c>
      <c r="J596" s="12" t="n">
        <v>0.05</v>
      </c>
      <c r="K596" s="11">
        <f>H596*I596*(1-J596)</f>
        <v/>
      </c>
      <c r="L596" s="11" t="n">
        <v>36</v>
      </c>
      <c r="M596" s="11">
        <f>K596-(H596*L596)</f>
        <v/>
      </c>
      <c r="N596" s="11">
        <f>H596*15</f>
        <v/>
      </c>
    </row>
    <row r="597">
      <c r="A597" t="inlineStr">
        <is>
          <t>LL-00596</t>
        </is>
      </c>
      <c r="B597" s="10" t="n">
        <v>46059</v>
      </c>
      <c r="C597" t="inlineStr">
        <is>
          <t>Feb</t>
        </is>
      </c>
      <c r="D597" t="inlineStr">
        <is>
          <t>South</t>
        </is>
      </c>
      <c r="E597" t="inlineStr">
        <is>
          <t>Retail</t>
        </is>
      </c>
      <c r="F597" t="inlineStr">
        <is>
          <t>Focus Monitor Stand</t>
        </is>
      </c>
      <c r="G597" t="inlineStr">
        <is>
          <t>Workspace</t>
        </is>
      </c>
      <c r="H597" t="n">
        <v>6</v>
      </c>
      <c r="I597" s="11" t="n">
        <v>79</v>
      </c>
      <c r="J597" s="12" t="n">
        <v>0</v>
      </c>
      <c r="K597" s="11">
        <f>H597*I597*(1-J597)</f>
        <v/>
      </c>
      <c r="L597" s="11" t="n">
        <v>36</v>
      </c>
      <c r="M597" s="11">
        <f>K597-(H597*L597)</f>
        <v/>
      </c>
      <c r="N597" s="11">
        <f>H597*6</f>
        <v/>
      </c>
    </row>
    <row r="598">
      <c r="A598" t="inlineStr">
        <is>
          <t>LL-00597</t>
        </is>
      </c>
      <c r="B598" s="10" t="n">
        <v>46060</v>
      </c>
      <c r="C598" t="inlineStr">
        <is>
          <t>Feb</t>
        </is>
      </c>
      <c r="D598" t="inlineStr">
        <is>
          <t>North</t>
        </is>
      </c>
      <c r="E598" t="inlineStr">
        <is>
          <t>Retail</t>
        </is>
      </c>
      <c r="F598" t="inlineStr">
        <is>
          <t>Halo Floor Lamp</t>
        </is>
      </c>
      <c r="G598" t="inlineStr">
        <is>
          <t>Lighting</t>
        </is>
      </c>
      <c r="H598" t="n">
        <v>2</v>
      </c>
      <c r="I598" s="11" t="n">
        <v>159</v>
      </c>
      <c r="J598" s="12" t="n">
        <v>0</v>
      </c>
      <c r="K598" s="11">
        <f>H598*I598*(1-J598)</f>
        <v/>
      </c>
      <c r="L598" s="11" t="n">
        <v>79</v>
      </c>
      <c r="M598" s="11">
        <f>K598-(H598*L598)</f>
        <v/>
      </c>
      <c r="N598" s="11">
        <f>H598*6</f>
        <v/>
      </c>
    </row>
    <row r="599">
      <c r="A599" t="inlineStr">
        <is>
          <t>LL-00598</t>
        </is>
      </c>
      <c r="B599" s="10" t="n">
        <v>46268</v>
      </c>
      <c r="C599" t="inlineStr">
        <is>
          <t>Sep</t>
        </is>
      </c>
      <c r="D599" t="inlineStr">
        <is>
          <t>North</t>
        </is>
      </c>
      <c r="E599" t="inlineStr">
        <is>
          <t>Retail</t>
        </is>
      </c>
      <c r="F599" t="inlineStr">
        <is>
          <t>Luna Throw</t>
        </is>
      </c>
      <c r="G599" t="inlineStr">
        <is>
          <t>Living</t>
        </is>
      </c>
      <c r="H599" t="n">
        <v>8</v>
      </c>
      <c r="I599" s="11" t="n">
        <v>69</v>
      </c>
      <c r="J599" s="12" t="n">
        <v>0.15</v>
      </c>
      <c r="K599" s="11">
        <f>H599*I599*(1-J599)</f>
        <v/>
      </c>
      <c r="L599" s="11" t="n">
        <v>31</v>
      </c>
      <c r="M599" s="11">
        <f>K599-(H599*L599)</f>
        <v/>
      </c>
      <c r="N599" s="11">
        <f>H599*6</f>
        <v/>
      </c>
    </row>
    <row r="600">
      <c r="A600" t="inlineStr">
        <is>
          <t>LL-00599</t>
        </is>
      </c>
      <c r="B600" s="10" t="n">
        <v>46308</v>
      </c>
      <c r="C600" t="inlineStr">
        <is>
          <t>Oct</t>
        </is>
      </c>
      <c r="D600" t="inlineStr">
        <is>
          <t>South</t>
        </is>
      </c>
      <c r="E600" t="inlineStr">
        <is>
          <t>Retail</t>
        </is>
      </c>
      <c r="F600" t="inlineStr">
        <is>
          <t>Luna Throw</t>
        </is>
      </c>
      <c r="G600" t="inlineStr">
        <is>
          <t>Living</t>
        </is>
      </c>
      <c r="H600" t="n">
        <v>4</v>
      </c>
      <c r="I600" s="11" t="n">
        <v>69</v>
      </c>
      <c r="J600" s="12" t="n">
        <v>0</v>
      </c>
      <c r="K600" s="11">
        <f>H600*I600*(1-J600)</f>
        <v/>
      </c>
      <c r="L600" s="11" t="n">
        <v>31</v>
      </c>
      <c r="M600" s="11">
        <f>K600-(H600*L600)</f>
        <v/>
      </c>
      <c r="N600" s="11">
        <f>H600*6</f>
        <v/>
      </c>
    </row>
    <row r="601">
      <c r="A601" t="inlineStr">
        <is>
          <t>LL-00600</t>
        </is>
      </c>
      <c r="B601" s="10" t="n">
        <v>46216</v>
      </c>
      <c r="C601" t="inlineStr">
        <is>
          <t>Jul</t>
        </is>
      </c>
      <c r="D601" t="inlineStr">
        <is>
          <t>North</t>
        </is>
      </c>
      <c r="E601" t="inlineStr">
        <is>
          <t>Retail</t>
        </is>
      </c>
      <c r="F601" t="inlineStr">
        <is>
          <t>Aurora Desk Lamp</t>
        </is>
      </c>
      <c r="G601" t="inlineStr">
        <is>
          <t>Lighting</t>
        </is>
      </c>
      <c r="H601" t="n">
        <v>3</v>
      </c>
      <c r="I601" s="11" t="n">
        <v>89</v>
      </c>
      <c r="J601" s="12" t="n">
        <v>0.15</v>
      </c>
      <c r="K601" s="11">
        <f>H601*I601*(1-J601)</f>
        <v/>
      </c>
      <c r="L601" s="11" t="n">
        <v>42</v>
      </c>
      <c r="M601" s="11">
        <f>K601-(H601*L601)</f>
        <v/>
      </c>
      <c r="N601" s="11">
        <f>H601*6</f>
        <v/>
      </c>
    </row>
    <row r="602">
      <c r="A602" t="inlineStr">
        <is>
          <t>LL-00601</t>
        </is>
      </c>
      <c r="B602" s="10" t="n">
        <v>46139</v>
      </c>
      <c r="C602" t="inlineStr">
        <is>
          <t>Apr</t>
        </is>
      </c>
      <c r="D602" t="inlineStr">
        <is>
          <t>North</t>
        </is>
      </c>
      <c r="E602" t="inlineStr">
        <is>
          <t>Online</t>
        </is>
      </c>
      <c r="F602" t="inlineStr">
        <is>
          <t>Aurora Desk Lamp</t>
        </is>
      </c>
      <c r="G602" t="inlineStr">
        <is>
          <t>Lighting</t>
        </is>
      </c>
      <c r="H602" t="n">
        <v>3</v>
      </c>
      <c r="I602" s="11" t="n">
        <v>89</v>
      </c>
      <c r="J602" s="12" t="n">
        <v>0.2</v>
      </c>
      <c r="K602" s="11">
        <f>H602*I602*(1-J602)</f>
        <v/>
      </c>
      <c r="L602" s="11" t="n">
        <v>42</v>
      </c>
      <c r="M602" s="11">
        <f>K602-(H602*L602)</f>
        <v/>
      </c>
      <c r="N602" s="11">
        <f>H602*11</f>
        <v/>
      </c>
    </row>
    <row r="603">
      <c r="A603" t="inlineStr">
        <is>
          <t>LL-00602</t>
        </is>
      </c>
      <c r="B603" s="10" t="n">
        <v>46185</v>
      </c>
      <c r="C603" t="inlineStr">
        <is>
          <t>Jun</t>
        </is>
      </c>
      <c r="D603" t="inlineStr">
        <is>
          <t>East</t>
        </is>
      </c>
      <c r="E603" t="inlineStr">
        <is>
          <t>Retail</t>
        </is>
      </c>
      <c r="F603" t="inlineStr">
        <is>
          <t>Nest Basket</t>
        </is>
      </c>
      <c r="G603" t="inlineStr">
        <is>
          <t>Living</t>
        </is>
      </c>
      <c r="H603" t="n">
        <v>3</v>
      </c>
      <c r="I603" s="11" t="n">
        <v>55</v>
      </c>
      <c r="J603" s="12" t="n">
        <v>0.05</v>
      </c>
      <c r="K603" s="11">
        <f>H603*I603*(1-J603)</f>
        <v/>
      </c>
      <c r="L603" s="11" t="n">
        <v>24</v>
      </c>
      <c r="M603" s="11">
        <f>K603-(H603*L603)</f>
        <v/>
      </c>
      <c r="N603" s="11">
        <f>H603*6</f>
        <v/>
      </c>
    </row>
    <row r="604">
      <c r="A604" t="inlineStr">
        <is>
          <t>LL-00603</t>
        </is>
      </c>
      <c r="B604" s="10" t="n">
        <v>46030</v>
      </c>
      <c r="C604" t="inlineStr">
        <is>
          <t>Jan</t>
        </is>
      </c>
      <c r="D604" t="inlineStr">
        <is>
          <t>North</t>
        </is>
      </c>
      <c r="E604" t="inlineStr">
        <is>
          <t>Online</t>
        </is>
      </c>
      <c r="F604" t="inlineStr">
        <is>
          <t>Halo Floor Lamp</t>
        </is>
      </c>
      <c r="G604" t="inlineStr">
        <is>
          <t>Lighting</t>
        </is>
      </c>
      <c r="H604" t="n">
        <v>1</v>
      </c>
      <c r="I604" s="11" t="n">
        <v>159</v>
      </c>
      <c r="J604" s="12" t="n">
        <v>0.05</v>
      </c>
      <c r="K604" s="11">
        <f>H604*I604*(1-J604)</f>
        <v/>
      </c>
      <c r="L604" s="11" t="n">
        <v>79</v>
      </c>
      <c r="M604" s="11">
        <f>K604-(H604*L604)</f>
        <v/>
      </c>
      <c r="N604" s="11">
        <f>H604*11</f>
        <v/>
      </c>
    </row>
    <row r="605">
      <c r="A605" t="inlineStr">
        <is>
          <t>LL-00604</t>
        </is>
      </c>
      <c r="B605" s="10" t="n">
        <v>46207</v>
      </c>
      <c r="C605" t="inlineStr">
        <is>
          <t>Jul</t>
        </is>
      </c>
      <c r="D605" t="inlineStr">
        <is>
          <t>North</t>
        </is>
      </c>
      <c r="E605" t="inlineStr">
        <is>
          <t>Retail</t>
        </is>
      </c>
      <c r="F605" t="inlineStr">
        <is>
          <t>Luna Throw</t>
        </is>
      </c>
      <c r="G605" t="inlineStr">
        <is>
          <t>Living</t>
        </is>
      </c>
      <c r="H605" t="n">
        <v>3</v>
      </c>
      <c r="I605" s="11" t="n">
        <v>69</v>
      </c>
      <c r="J605" s="12" t="n">
        <v>0.15</v>
      </c>
      <c r="K605" s="11">
        <f>H605*I605*(1-J605)</f>
        <v/>
      </c>
      <c r="L605" s="11" t="n">
        <v>31</v>
      </c>
      <c r="M605" s="11">
        <f>K605-(H605*L605)</f>
        <v/>
      </c>
      <c r="N605" s="11">
        <f>H605*6</f>
        <v/>
      </c>
    </row>
    <row r="606">
      <c r="A606" t="inlineStr">
        <is>
          <t>LL-00605</t>
        </is>
      </c>
      <c r="B606" s="10" t="n">
        <v>46340</v>
      </c>
      <c r="C606" t="inlineStr">
        <is>
          <t>Nov</t>
        </is>
      </c>
      <c r="D606" t="inlineStr">
        <is>
          <t>North</t>
        </is>
      </c>
      <c r="E606" t="inlineStr">
        <is>
          <t>Retail</t>
        </is>
      </c>
      <c r="F606" t="inlineStr">
        <is>
          <t>Arc Side Table</t>
        </is>
      </c>
      <c r="G606" t="inlineStr">
        <is>
          <t>Living</t>
        </is>
      </c>
      <c r="H606" t="n">
        <v>6</v>
      </c>
      <c r="I606" s="11" t="n">
        <v>139</v>
      </c>
      <c r="J606" s="12" t="n">
        <v>0.15</v>
      </c>
      <c r="K606" s="11">
        <f>H606*I606*(1-J606)</f>
        <v/>
      </c>
      <c r="L606" s="11" t="n">
        <v>72</v>
      </c>
      <c r="M606" s="11">
        <f>K606-(H606*L606)</f>
        <v/>
      </c>
      <c r="N606" s="11">
        <f>H606*6</f>
        <v/>
      </c>
    </row>
    <row r="607">
      <c r="A607" t="inlineStr">
        <is>
          <t>LL-00606</t>
        </is>
      </c>
      <c r="B607" s="10" t="n">
        <v>46265</v>
      </c>
      <c r="C607" t="inlineStr">
        <is>
          <t>Aug</t>
        </is>
      </c>
      <c r="D607" t="inlineStr">
        <is>
          <t>North</t>
        </is>
      </c>
      <c r="E607" t="inlineStr">
        <is>
          <t>Online</t>
        </is>
      </c>
      <c r="F607" t="inlineStr">
        <is>
          <t>Aurora Desk Lamp</t>
        </is>
      </c>
      <c r="G607" t="inlineStr">
        <is>
          <t>Lighting</t>
        </is>
      </c>
      <c r="H607" t="n">
        <v>6</v>
      </c>
      <c r="I607" s="11" t="n">
        <v>89</v>
      </c>
      <c r="J607" s="12" t="n">
        <v>0.2</v>
      </c>
      <c r="K607" s="11">
        <f>H607*I607*(1-J607)</f>
        <v/>
      </c>
      <c r="L607" s="11" t="n">
        <v>42</v>
      </c>
      <c r="M607" s="11">
        <f>K607-(H607*L607)</f>
        <v/>
      </c>
      <c r="N607" s="11">
        <f>H607*11</f>
        <v/>
      </c>
    </row>
    <row r="608">
      <c r="A608" t="inlineStr">
        <is>
          <t>LL-00607</t>
        </is>
      </c>
      <c r="B608" s="10" t="n">
        <v>46107</v>
      </c>
      <c r="C608" t="inlineStr">
        <is>
          <t>Mar</t>
        </is>
      </c>
      <c r="D608" t="inlineStr">
        <is>
          <t>North</t>
        </is>
      </c>
      <c r="E608" t="inlineStr">
        <is>
          <t>Online</t>
        </is>
      </c>
      <c r="F608" t="inlineStr">
        <is>
          <t>Nest Basket</t>
        </is>
      </c>
      <c r="G608" t="inlineStr">
        <is>
          <t>Living</t>
        </is>
      </c>
      <c r="H608" t="n">
        <v>4</v>
      </c>
      <c r="I608" s="11" t="n">
        <v>55</v>
      </c>
      <c r="J608" s="12" t="n">
        <v>0.15</v>
      </c>
      <c r="K608" s="11">
        <f>H608*I608*(1-J608)</f>
        <v/>
      </c>
      <c r="L608" s="11" t="n">
        <v>24</v>
      </c>
      <c r="M608" s="11">
        <f>K608-(H608*L608)</f>
        <v/>
      </c>
      <c r="N608" s="11">
        <f>H608*11</f>
        <v/>
      </c>
    </row>
    <row r="609">
      <c r="A609" t="inlineStr">
        <is>
          <t>LL-00608</t>
        </is>
      </c>
      <c r="B609" s="10" t="n">
        <v>46328</v>
      </c>
      <c r="C609" t="inlineStr">
        <is>
          <t>Nov</t>
        </is>
      </c>
      <c r="D609" t="inlineStr">
        <is>
          <t>South</t>
        </is>
      </c>
      <c r="E609" t="inlineStr">
        <is>
          <t>Online</t>
        </is>
      </c>
      <c r="F609" t="inlineStr">
        <is>
          <t>Luna Throw</t>
        </is>
      </c>
      <c r="G609" t="inlineStr">
        <is>
          <t>Living</t>
        </is>
      </c>
      <c r="H609" t="n">
        <v>5</v>
      </c>
      <c r="I609" s="11" t="n">
        <v>69</v>
      </c>
      <c r="J609" s="12" t="n">
        <v>0.05</v>
      </c>
      <c r="K609" s="11">
        <f>H609*I609*(1-J609)</f>
        <v/>
      </c>
      <c r="L609" s="11" t="n">
        <v>31</v>
      </c>
      <c r="M609" s="11">
        <f>K609-(H609*L609)</f>
        <v/>
      </c>
      <c r="N609" s="11">
        <f>H609*11</f>
        <v/>
      </c>
    </row>
    <row r="610">
      <c r="A610" t="inlineStr">
        <is>
          <t>LL-00609</t>
        </is>
      </c>
      <c r="B610" s="10" t="n">
        <v>46105</v>
      </c>
      <c r="C610" t="inlineStr">
        <is>
          <t>Mar</t>
        </is>
      </c>
      <c r="D610" t="inlineStr">
        <is>
          <t>West</t>
        </is>
      </c>
      <c r="E610" t="inlineStr">
        <is>
          <t>Retail</t>
        </is>
      </c>
      <c r="F610" t="inlineStr">
        <is>
          <t>Aurora Desk Lamp</t>
        </is>
      </c>
      <c r="G610" t="inlineStr">
        <is>
          <t>Lighting</t>
        </is>
      </c>
      <c r="H610" t="n">
        <v>3</v>
      </c>
      <c r="I610" s="11" t="n">
        <v>89</v>
      </c>
      <c r="J610" s="12" t="n">
        <v>0</v>
      </c>
      <c r="K610" s="11">
        <f>H610*I610*(1-J610)</f>
        <v/>
      </c>
      <c r="L610" s="11" t="n">
        <v>42</v>
      </c>
      <c r="M610" s="11">
        <f>K610-(H610*L610)</f>
        <v/>
      </c>
      <c r="N610" s="11">
        <f>H610*6</f>
        <v/>
      </c>
    </row>
    <row r="611">
      <c r="A611" t="inlineStr">
        <is>
          <t>LL-00610</t>
        </is>
      </c>
      <c r="B611" s="10" t="n">
        <v>46263</v>
      </c>
      <c r="C611" t="inlineStr">
        <is>
          <t>Aug</t>
        </is>
      </c>
      <c r="D611" t="inlineStr">
        <is>
          <t>South</t>
        </is>
      </c>
      <c r="E611" t="inlineStr">
        <is>
          <t>Marketplace</t>
        </is>
      </c>
      <c r="F611" t="inlineStr">
        <is>
          <t>Nest Basket</t>
        </is>
      </c>
      <c r="G611" t="inlineStr">
        <is>
          <t>Living</t>
        </is>
      </c>
      <c r="H611" t="n">
        <v>8</v>
      </c>
      <c r="I611" s="11" t="n">
        <v>55</v>
      </c>
      <c r="J611" s="12" t="n">
        <v>0.05</v>
      </c>
      <c r="K611" s="11">
        <f>H611*I611*(1-J611)</f>
        <v/>
      </c>
      <c r="L611" s="11" t="n">
        <v>24</v>
      </c>
      <c r="M611" s="11">
        <f>K611-(H611*L611)</f>
        <v/>
      </c>
      <c r="N611" s="11">
        <f>H611*15</f>
        <v/>
      </c>
    </row>
    <row r="612">
      <c r="A612" t="inlineStr">
        <is>
          <t>LL-00611</t>
        </is>
      </c>
      <c r="B612" s="10" t="n">
        <v>46135</v>
      </c>
      <c r="C612" t="inlineStr">
        <is>
          <t>Apr</t>
        </is>
      </c>
      <c r="D612" t="inlineStr">
        <is>
          <t>West</t>
        </is>
      </c>
      <c r="E612" t="inlineStr">
        <is>
          <t>Online</t>
        </is>
      </c>
      <c r="F612" t="inlineStr">
        <is>
          <t>Nest Basket</t>
        </is>
      </c>
      <c r="G612" t="inlineStr">
        <is>
          <t>Living</t>
        </is>
      </c>
      <c r="H612" t="n">
        <v>4</v>
      </c>
      <c r="I612" s="11" t="n">
        <v>55</v>
      </c>
      <c r="J612" s="12" t="n">
        <v>0.1</v>
      </c>
      <c r="K612" s="11">
        <f>H612*I612*(1-J612)</f>
        <v/>
      </c>
      <c r="L612" s="11" t="n">
        <v>24</v>
      </c>
      <c r="M612" s="11">
        <f>K612-(H612*L612)</f>
        <v/>
      </c>
      <c r="N612" s="11">
        <f>H612*11</f>
        <v/>
      </c>
    </row>
    <row r="613">
      <c r="A613" t="inlineStr">
        <is>
          <t>LL-00612</t>
        </is>
      </c>
      <c r="B613" s="10" t="n">
        <v>46294</v>
      </c>
      <c r="C613" t="inlineStr">
        <is>
          <t>Sep</t>
        </is>
      </c>
      <c r="D613" t="inlineStr">
        <is>
          <t>East</t>
        </is>
      </c>
      <c r="E613" t="inlineStr">
        <is>
          <t>Online</t>
        </is>
      </c>
      <c r="F613" t="inlineStr">
        <is>
          <t>Arc Side Table</t>
        </is>
      </c>
      <c r="G613" t="inlineStr">
        <is>
          <t>Living</t>
        </is>
      </c>
      <c r="H613" t="n">
        <v>5</v>
      </c>
      <c r="I613" s="11" t="n">
        <v>139</v>
      </c>
      <c r="J613" s="12" t="n">
        <v>0.1</v>
      </c>
      <c r="K613" s="11">
        <f>H613*I613*(1-J613)</f>
        <v/>
      </c>
      <c r="L613" s="11" t="n">
        <v>72</v>
      </c>
      <c r="M613" s="11">
        <f>K613-(H613*L613)</f>
        <v/>
      </c>
      <c r="N613" s="11">
        <f>H613*11</f>
        <v/>
      </c>
    </row>
    <row r="614">
      <c r="A614" t="inlineStr">
        <is>
          <t>LL-00613</t>
        </is>
      </c>
      <c r="B614" s="10" t="n">
        <v>46372</v>
      </c>
      <c r="C614" t="inlineStr">
        <is>
          <t>Dec</t>
        </is>
      </c>
      <c r="D614" t="inlineStr">
        <is>
          <t>North</t>
        </is>
      </c>
      <c r="E614" t="inlineStr">
        <is>
          <t>Marketplace</t>
        </is>
      </c>
      <c r="F614" t="inlineStr">
        <is>
          <t>Nest Basket</t>
        </is>
      </c>
      <c r="G614" t="inlineStr">
        <is>
          <t>Living</t>
        </is>
      </c>
      <c r="H614" t="n">
        <v>5</v>
      </c>
      <c r="I614" s="11" t="n">
        <v>55</v>
      </c>
      <c r="J614" s="12" t="n">
        <v>0.05</v>
      </c>
      <c r="K614" s="11">
        <f>H614*I614*(1-J614)</f>
        <v/>
      </c>
      <c r="L614" s="11" t="n">
        <v>24</v>
      </c>
      <c r="M614" s="11">
        <f>K614-(H614*L614)</f>
        <v/>
      </c>
      <c r="N614" s="11">
        <f>H614*15</f>
        <v/>
      </c>
    </row>
    <row r="615">
      <c r="A615" t="inlineStr">
        <is>
          <t>LL-00614</t>
        </is>
      </c>
      <c r="B615" s="10" t="n">
        <v>46364</v>
      </c>
      <c r="C615" t="inlineStr">
        <is>
          <t>Dec</t>
        </is>
      </c>
      <c r="D615" t="inlineStr">
        <is>
          <t>North</t>
        </is>
      </c>
      <c r="E615" t="inlineStr">
        <is>
          <t>Online</t>
        </is>
      </c>
      <c r="F615" t="inlineStr">
        <is>
          <t>Nest Basket</t>
        </is>
      </c>
      <c r="G615" t="inlineStr">
        <is>
          <t>Living</t>
        </is>
      </c>
      <c r="H615" t="n">
        <v>2</v>
      </c>
      <c r="I615" s="11" t="n">
        <v>55</v>
      </c>
      <c r="J615" s="12" t="n">
        <v>0.1</v>
      </c>
      <c r="K615" s="11">
        <f>H615*I615*(1-J615)</f>
        <v/>
      </c>
      <c r="L615" s="11" t="n">
        <v>24</v>
      </c>
      <c r="M615" s="11">
        <f>K615-(H615*L615)</f>
        <v/>
      </c>
      <c r="N615" s="11">
        <f>H615*11</f>
        <v/>
      </c>
    </row>
    <row r="616">
      <c r="A616" t="inlineStr">
        <is>
          <t>LL-00615</t>
        </is>
      </c>
      <c r="B616" s="10" t="n">
        <v>46203</v>
      </c>
      <c r="C616" t="inlineStr">
        <is>
          <t>Jun</t>
        </is>
      </c>
      <c r="D616" t="inlineStr">
        <is>
          <t>East</t>
        </is>
      </c>
      <c r="E616" t="inlineStr">
        <is>
          <t>Retail</t>
        </is>
      </c>
      <c r="F616" t="inlineStr">
        <is>
          <t>Arc Side Table</t>
        </is>
      </c>
      <c r="G616" t="inlineStr">
        <is>
          <t>Living</t>
        </is>
      </c>
      <c r="H616" t="n">
        <v>6</v>
      </c>
      <c r="I616" s="11" t="n">
        <v>139</v>
      </c>
      <c r="J616" s="12" t="n">
        <v>0.1</v>
      </c>
      <c r="K616" s="11">
        <f>H616*I616*(1-J616)</f>
        <v/>
      </c>
      <c r="L616" s="11" t="n">
        <v>72</v>
      </c>
      <c r="M616" s="11">
        <f>K616-(H616*L616)</f>
        <v/>
      </c>
      <c r="N616" s="11">
        <f>H616*6</f>
        <v/>
      </c>
    </row>
    <row r="617">
      <c r="A617" t="inlineStr">
        <is>
          <t>LL-00616</t>
        </is>
      </c>
      <c r="B617" s="10" t="n">
        <v>46035</v>
      </c>
      <c r="C617" t="inlineStr">
        <is>
          <t>Jan</t>
        </is>
      </c>
      <c r="D617" t="inlineStr">
        <is>
          <t>West</t>
        </is>
      </c>
      <c r="E617" t="inlineStr">
        <is>
          <t>Online</t>
        </is>
      </c>
      <c r="F617" t="inlineStr">
        <is>
          <t>Nest Basket</t>
        </is>
      </c>
      <c r="G617" t="inlineStr">
        <is>
          <t>Living</t>
        </is>
      </c>
      <c r="H617" t="n">
        <v>5</v>
      </c>
      <c r="I617" s="11" t="n">
        <v>55</v>
      </c>
      <c r="J617" s="12" t="n">
        <v>0.1</v>
      </c>
      <c r="K617" s="11">
        <f>H617*I617*(1-J617)</f>
        <v/>
      </c>
      <c r="L617" s="11" t="n">
        <v>24</v>
      </c>
      <c r="M617" s="11">
        <f>K617-(H617*L617)</f>
        <v/>
      </c>
      <c r="N617" s="11">
        <f>H617*11</f>
        <v/>
      </c>
    </row>
    <row r="618">
      <c r="A618" t="inlineStr">
        <is>
          <t>LL-00617</t>
        </is>
      </c>
      <c r="B618" s="10" t="n">
        <v>46311</v>
      </c>
      <c r="C618" t="inlineStr">
        <is>
          <t>Oct</t>
        </is>
      </c>
      <c r="D618" t="inlineStr">
        <is>
          <t>East</t>
        </is>
      </c>
      <c r="E618" t="inlineStr">
        <is>
          <t>Online</t>
        </is>
      </c>
      <c r="F618" t="inlineStr">
        <is>
          <t>Nest Basket</t>
        </is>
      </c>
      <c r="G618" t="inlineStr">
        <is>
          <t>Living</t>
        </is>
      </c>
      <c r="H618" t="n">
        <v>2</v>
      </c>
      <c r="I618" s="11" t="n">
        <v>55</v>
      </c>
      <c r="J618" s="12" t="n">
        <v>0.05</v>
      </c>
      <c r="K618" s="11">
        <f>H618*I618*(1-J618)</f>
        <v/>
      </c>
      <c r="L618" s="11" t="n">
        <v>24</v>
      </c>
      <c r="M618" s="11">
        <f>K618-(H618*L618)</f>
        <v/>
      </c>
      <c r="N618" s="11">
        <f>H618*11</f>
        <v/>
      </c>
    </row>
    <row r="619">
      <c r="A619" t="inlineStr">
        <is>
          <t>LL-00618</t>
        </is>
      </c>
      <c r="B619" s="10" t="n">
        <v>46152</v>
      </c>
      <c r="C619" t="inlineStr">
        <is>
          <t>May</t>
        </is>
      </c>
      <c r="D619" t="inlineStr">
        <is>
          <t>West</t>
        </is>
      </c>
      <c r="E619" t="inlineStr">
        <is>
          <t>Retail</t>
        </is>
      </c>
      <c r="F619" t="inlineStr">
        <is>
          <t>Arc Side Table</t>
        </is>
      </c>
      <c r="G619" t="inlineStr">
        <is>
          <t>Living</t>
        </is>
      </c>
      <c r="H619" t="n">
        <v>1</v>
      </c>
      <c r="I619" s="11" t="n">
        <v>139</v>
      </c>
      <c r="J619" s="12" t="n">
        <v>0.05</v>
      </c>
      <c r="K619" s="11">
        <f>H619*I619*(1-J619)</f>
        <v/>
      </c>
      <c r="L619" s="11" t="n">
        <v>72</v>
      </c>
      <c r="M619" s="11">
        <f>K619-(H619*L619)</f>
        <v/>
      </c>
      <c r="N619" s="11">
        <f>H619*6</f>
        <v/>
      </c>
    </row>
    <row r="620">
      <c r="A620" t="inlineStr">
        <is>
          <t>LL-00619</t>
        </is>
      </c>
      <c r="B620" s="10" t="n">
        <v>46237</v>
      </c>
      <c r="C620" t="inlineStr">
        <is>
          <t>Aug</t>
        </is>
      </c>
      <c r="D620" t="inlineStr">
        <is>
          <t>North</t>
        </is>
      </c>
      <c r="E620" t="inlineStr">
        <is>
          <t>Retail</t>
        </is>
      </c>
      <c r="F620" t="inlineStr">
        <is>
          <t>Nest Basket</t>
        </is>
      </c>
      <c r="G620" t="inlineStr">
        <is>
          <t>Living</t>
        </is>
      </c>
      <c r="H620" t="n">
        <v>3</v>
      </c>
      <c r="I620" s="11" t="n">
        <v>55</v>
      </c>
      <c r="J620" s="12" t="n">
        <v>0</v>
      </c>
      <c r="K620" s="11">
        <f>H620*I620*(1-J620)</f>
        <v/>
      </c>
      <c r="L620" s="11" t="n">
        <v>24</v>
      </c>
      <c r="M620" s="11">
        <f>K620-(H620*L620)</f>
        <v/>
      </c>
      <c r="N620" s="11">
        <f>H620*6</f>
        <v/>
      </c>
    </row>
    <row r="621">
      <c r="A621" t="inlineStr">
        <is>
          <t>LL-00620</t>
        </is>
      </c>
      <c r="B621" s="10" t="n">
        <v>46264</v>
      </c>
      <c r="C621" t="inlineStr">
        <is>
          <t>Aug</t>
        </is>
      </c>
      <c r="D621" t="inlineStr">
        <is>
          <t>South</t>
        </is>
      </c>
      <c r="E621" t="inlineStr">
        <is>
          <t>Online</t>
        </is>
      </c>
      <c r="F621" t="inlineStr">
        <is>
          <t>Luna Throw</t>
        </is>
      </c>
      <c r="G621" t="inlineStr">
        <is>
          <t>Living</t>
        </is>
      </c>
      <c r="H621" t="n">
        <v>4</v>
      </c>
      <c r="I621" s="11" t="n">
        <v>69</v>
      </c>
      <c r="J621" s="12" t="n">
        <v>0.1</v>
      </c>
      <c r="K621" s="11">
        <f>H621*I621*(1-J621)</f>
        <v/>
      </c>
      <c r="L621" s="11" t="n">
        <v>31</v>
      </c>
      <c r="M621" s="11">
        <f>K621-(H621*L621)</f>
        <v/>
      </c>
      <c r="N621" s="11">
        <f>H621*11</f>
        <v/>
      </c>
    </row>
    <row r="622">
      <c r="A622" t="inlineStr">
        <is>
          <t>LL-00621</t>
        </is>
      </c>
      <c r="B622" s="10" t="n">
        <v>46215</v>
      </c>
      <c r="C622" t="inlineStr">
        <is>
          <t>Jul</t>
        </is>
      </c>
      <c r="D622" t="inlineStr">
        <is>
          <t>North</t>
        </is>
      </c>
      <c r="E622" t="inlineStr">
        <is>
          <t>Online</t>
        </is>
      </c>
      <c r="F622" t="inlineStr">
        <is>
          <t>Focus Monitor Stand</t>
        </is>
      </c>
      <c r="G622" t="inlineStr">
        <is>
          <t>Workspace</t>
        </is>
      </c>
      <c r="H622" t="n">
        <v>2</v>
      </c>
      <c r="I622" s="11" t="n">
        <v>79</v>
      </c>
      <c r="J622" s="12" t="n">
        <v>0.15</v>
      </c>
      <c r="K622" s="11">
        <f>H622*I622*(1-J622)</f>
        <v/>
      </c>
      <c r="L622" s="11" t="n">
        <v>36</v>
      </c>
      <c r="M622" s="11">
        <f>K622-(H622*L622)</f>
        <v/>
      </c>
      <c r="N622" s="11">
        <f>H622*11</f>
        <v/>
      </c>
    </row>
    <row r="623">
      <c r="A623" t="inlineStr">
        <is>
          <t>LL-00622</t>
        </is>
      </c>
      <c r="B623" s="10" t="n">
        <v>46135</v>
      </c>
      <c r="C623" t="inlineStr">
        <is>
          <t>Apr</t>
        </is>
      </c>
      <c r="D623" t="inlineStr">
        <is>
          <t>West</t>
        </is>
      </c>
      <c r="E623" t="inlineStr">
        <is>
          <t>Online</t>
        </is>
      </c>
      <c r="F623" t="inlineStr">
        <is>
          <t>Arc Side Table</t>
        </is>
      </c>
      <c r="G623" t="inlineStr">
        <is>
          <t>Living</t>
        </is>
      </c>
      <c r="H623" t="n">
        <v>1</v>
      </c>
      <c r="I623" s="11" t="n">
        <v>139</v>
      </c>
      <c r="J623" s="12" t="n">
        <v>0.1</v>
      </c>
      <c r="K623" s="11">
        <f>H623*I623*(1-J623)</f>
        <v/>
      </c>
      <c r="L623" s="11" t="n">
        <v>72</v>
      </c>
      <c r="M623" s="11">
        <f>K623-(H623*L623)</f>
        <v/>
      </c>
      <c r="N623" s="11">
        <f>H623*11</f>
        <v/>
      </c>
    </row>
    <row r="624">
      <c r="A624" t="inlineStr">
        <is>
          <t>LL-00623</t>
        </is>
      </c>
      <c r="B624" s="10" t="n">
        <v>46030</v>
      </c>
      <c r="C624" t="inlineStr">
        <is>
          <t>Jan</t>
        </is>
      </c>
      <c r="D624" t="inlineStr">
        <is>
          <t>North</t>
        </is>
      </c>
      <c r="E624" t="inlineStr">
        <is>
          <t>Retail</t>
        </is>
      </c>
      <c r="F624" t="inlineStr">
        <is>
          <t>Halo Floor Lamp</t>
        </is>
      </c>
      <c r="G624" t="inlineStr">
        <is>
          <t>Lighting</t>
        </is>
      </c>
      <c r="H624" t="n">
        <v>2</v>
      </c>
      <c r="I624" s="11" t="n">
        <v>159</v>
      </c>
      <c r="J624" s="12" t="n">
        <v>0</v>
      </c>
      <c r="K624" s="11">
        <f>H624*I624*(1-J624)</f>
        <v/>
      </c>
      <c r="L624" s="11" t="n">
        <v>79</v>
      </c>
      <c r="M624" s="11">
        <f>K624-(H624*L624)</f>
        <v/>
      </c>
      <c r="N624" s="11">
        <f>H624*6</f>
        <v/>
      </c>
    </row>
    <row r="625">
      <c r="A625" t="inlineStr">
        <is>
          <t>LL-00624</t>
        </is>
      </c>
      <c r="B625" s="10" t="n">
        <v>46183</v>
      </c>
      <c r="C625" t="inlineStr">
        <is>
          <t>Jun</t>
        </is>
      </c>
      <c r="D625" t="inlineStr">
        <is>
          <t>South</t>
        </is>
      </c>
      <c r="E625" t="inlineStr">
        <is>
          <t>Online</t>
        </is>
      </c>
      <c r="F625" t="inlineStr">
        <is>
          <t>Luna Throw</t>
        </is>
      </c>
      <c r="G625" t="inlineStr">
        <is>
          <t>Living</t>
        </is>
      </c>
      <c r="H625" t="n">
        <v>7</v>
      </c>
      <c r="I625" s="11" t="n">
        <v>69</v>
      </c>
      <c r="J625" s="12" t="n">
        <v>0.05</v>
      </c>
      <c r="K625" s="11">
        <f>H625*I625*(1-J625)</f>
        <v/>
      </c>
      <c r="L625" s="11" t="n">
        <v>31</v>
      </c>
      <c r="M625" s="11">
        <f>K625-(H625*L625)</f>
        <v/>
      </c>
      <c r="N625" s="11">
        <f>H625*11</f>
        <v/>
      </c>
    </row>
    <row r="626">
      <c r="A626" t="inlineStr">
        <is>
          <t>LL-00625</t>
        </is>
      </c>
      <c r="B626" s="10" t="n">
        <v>46194</v>
      </c>
      <c r="C626" t="inlineStr">
        <is>
          <t>Jun</t>
        </is>
      </c>
      <c r="D626" t="inlineStr">
        <is>
          <t>East</t>
        </is>
      </c>
      <c r="E626" t="inlineStr">
        <is>
          <t>Marketplace</t>
        </is>
      </c>
      <c r="F626" t="inlineStr">
        <is>
          <t>Focus Monitor Stand</t>
        </is>
      </c>
      <c r="G626" t="inlineStr">
        <is>
          <t>Workspace</t>
        </is>
      </c>
      <c r="H626" t="n">
        <v>6</v>
      </c>
      <c r="I626" s="11" t="n">
        <v>79</v>
      </c>
      <c r="J626" s="12" t="n">
        <v>0.05</v>
      </c>
      <c r="K626" s="11">
        <f>H626*I626*(1-J626)</f>
        <v/>
      </c>
      <c r="L626" s="11" t="n">
        <v>36</v>
      </c>
      <c r="M626" s="11">
        <f>K626-(H626*L626)</f>
        <v/>
      </c>
      <c r="N626" s="11">
        <f>H626*15</f>
        <v/>
      </c>
    </row>
    <row r="627">
      <c r="A627" t="inlineStr">
        <is>
          <t>LL-00626</t>
        </is>
      </c>
      <c r="B627" s="10" t="n">
        <v>46047</v>
      </c>
      <c r="C627" t="inlineStr">
        <is>
          <t>Jan</t>
        </is>
      </c>
      <c r="D627" t="inlineStr">
        <is>
          <t>West</t>
        </is>
      </c>
      <c r="E627" t="inlineStr">
        <is>
          <t>Online</t>
        </is>
      </c>
      <c r="F627" t="inlineStr">
        <is>
          <t>Arc Side Table</t>
        </is>
      </c>
      <c r="G627" t="inlineStr">
        <is>
          <t>Living</t>
        </is>
      </c>
      <c r="H627" t="n">
        <v>3</v>
      </c>
      <c r="I627" s="11" t="n">
        <v>139</v>
      </c>
      <c r="J627" s="12" t="n">
        <v>0.15</v>
      </c>
      <c r="K627" s="11">
        <f>H627*I627*(1-J627)</f>
        <v/>
      </c>
      <c r="L627" s="11" t="n">
        <v>72</v>
      </c>
      <c r="M627" s="11">
        <f>K627-(H627*L627)</f>
        <v/>
      </c>
      <c r="N627" s="11">
        <f>H627*11</f>
        <v/>
      </c>
    </row>
    <row r="628">
      <c r="A628" t="inlineStr">
        <is>
          <t>LL-00627</t>
        </is>
      </c>
      <c r="B628" s="10" t="n">
        <v>46116</v>
      </c>
      <c r="C628" t="inlineStr">
        <is>
          <t>Apr</t>
        </is>
      </c>
      <c r="D628" t="inlineStr">
        <is>
          <t>East</t>
        </is>
      </c>
      <c r="E628" t="inlineStr">
        <is>
          <t>Marketplace</t>
        </is>
      </c>
      <c r="F628" t="inlineStr">
        <is>
          <t>Nest Basket</t>
        </is>
      </c>
      <c r="G628" t="inlineStr">
        <is>
          <t>Living</t>
        </is>
      </c>
      <c r="H628" t="n">
        <v>4</v>
      </c>
      <c r="I628" s="11" t="n">
        <v>55</v>
      </c>
      <c r="J628" s="12" t="n">
        <v>0.15</v>
      </c>
      <c r="K628" s="11">
        <f>H628*I628*(1-J628)</f>
        <v/>
      </c>
      <c r="L628" s="11" t="n">
        <v>24</v>
      </c>
      <c r="M628" s="11">
        <f>K628-(H628*L628)</f>
        <v/>
      </c>
      <c r="N628" s="11">
        <f>H628*15</f>
        <v/>
      </c>
    </row>
    <row r="629">
      <c r="A629" t="inlineStr">
        <is>
          <t>LL-00628</t>
        </is>
      </c>
      <c r="B629" s="10" t="n">
        <v>46070</v>
      </c>
      <c r="C629" t="inlineStr">
        <is>
          <t>Feb</t>
        </is>
      </c>
      <c r="D629" t="inlineStr">
        <is>
          <t>East</t>
        </is>
      </c>
      <c r="E629" t="inlineStr">
        <is>
          <t>Retail</t>
        </is>
      </c>
      <c r="F629" t="inlineStr">
        <is>
          <t>Aurora Desk Lamp</t>
        </is>
      </c>
      <c r="G629" t="inlineStr">
        <is>
          <t>Lighting</t>
        </is>
      </c>
      <c r="H629" t="n">
        <v>6</v>
      </c>
      <c r="I629" s="11" t="n">
        <v>89</v>
      </c>
      <c r="J629" s="12" t="n">
        <v>0.15</v>
      </c>
      <c r="K629" s="11">
        <f>H629*I629*(1-J629)</f>
        <v/>
      </c>
      <c r="L629" s="11" t="n">
        <v>42</v>
      </c>
      <c r="M629" s="11">
        <f>K629-(H629*L629)</f>
        <v/>
      </c>
      <c r="N629" s="11">
        <f>H629*6</f>
        <v/>
      </c>
    </row>
    <row r="630">
      <c r="A630" t="inlineStr">
        <is>
          <t>LL-00629</t>
        </is>
      </c>
      <c r="B630" s="10" t="n">
        <v>46108</v>
      </c>
      <c r="C630" t="inlineStr">
        <is>
          <t>Mar</t>
        </is>
      </c>
      <c r="D630" t="inlineStr">
        <is>
          <t>North</t>
        </is>
      </c>
      <c r="E630" t="inlineStr">
        <is>
          <t>Online</t>
        </is>
      </c>
      <c r="F630" t="inlineStr">
        <is>
          <t>Nest Basket</t>
        </is>
      </c>
      <c r="G630" t="inlineStr">
        <is>
          <t>Living</t>
        </is>
      </c>
      <c r="H630" t="n">
        <v>8</v>
      </c>
      <c r="I630" s="11" t="n">
        <v>55</v>
      </c>
      <c r="J630" s="12" t="n">
        <v>0.1</v>
      </c>
      <c r="K630" s="11">
        <f>H630*I630*(1-J630)</f>
        <v/>
      </c>
      <c r="L630" s="11" t="n">
        <v>24</v>
      </c>
      <c r="M630" s="11">
        <f>K630-(H630*L630)</f>
        <v/>
      </c>
      <c r="N630" s="11">
        <f>H630*11</f>
        <v/>
      </c>
    </row>
    <row r="631">
      <c r="A631" t="inlineStr">
        <is>
          <t>LL-00630</t>
        </is>
      </c>
      <c r="B631" s="10" t="n">
        <v>46228</v>
      </c>
      <c r="C631" t="inlineStr">
        <is>
          <t>Jul</t>
        </is>
      </c>
      <c r="D631" t="inlineStr">
        <is>
          <t>East</t>
        </is>
      </c>
      <c r="E631" t="inlineStr">
        <is>
          <t>Retail</t>
        </is>
      </c>
      <c r="F631" t="inlineStr">
        <is>
          <t>Focus Monitor Stand</t>
        </is>
      </c>
      <c r="G631" t="inlineStr">
        <is>
          <t>Workspace</t>
        </is>
      </c>
      <c r="H631" t="n">
        <v>2</v>
      </c>
      <c r="I631" s="11" t="n">
        <v>79</v>
      </c>
      <c r="J631" s="12" t="n">
        <v>0.1</v>
      </c>
      <c r="K631" s="11">
        <f>H631*I631*(1-J631)</f>
        <v/>
      </c>
      <c r="L631" s="11" t="n">
        <v>36</v>
      </c>
      <c r="M631" s="11">
        <f>K631-(H631*L631)</f>
        <v/>
      </c>
      <c r="N631" s="11">
        <f>H631*6</f>
        <v/>
      </c>
    </row>
    <row r="632">
      <c r="A632" t="inlineStr">
        <is>
          <t>LL-00631</t>
        </is>
      </c>
      <c r="B632" s="10" t="n">
        <v>46255</v>
      </c>
      <c r="C632" t="inlineStr">
        <is>
          <t>Aug</t>
        </is>
      </c>
      <c r="D632" t="inlineStr">
        <is>
          <t>North</t>
        </is>
      </c>
      <c r="E632" t="inlineStr">
        <is>
          <t>Retail</t>
        </is>
      </c>
      <c r="F632" t="inlineStr">
        <is>
          <t>Aurora Desk Lamp</t>
        </is>
      </c>
      <c r="G632" t="inlineStr">
        <is>
          <t>Lighting</t>
        </is>
      </c>
      <c r="H632" t="n">
        <v>8</v>
      </c>
      <c r="I632" s="11" t="n">
        <v>89</v>
      </c>
      <c r="J632" s="12" t="n">
        <v>0.15</v>
      </c>
      <c r="K632" s="11">
        <f>H632*I632*(1-J632)</f>
        <v/>
      </c>
      <c r="L632" s="11" t="n">
        <v>42</v>
      </c>
      <c r="M632" s="11">
        <f>K632-(H632*L632)</f>
        <v/>
      </c>
      <c r="N632" s="11">
        <f>H632*6</f>
        <v/>
      </c>
    </row>
    <row r="633">
      <c r="A633" t="inlineStr">
        <is>
          <t>LL-00632</t>
        </is>
      </c>
      <c r="B633" s="10" t="n">
        <v>46272</v>
      </c>
      <c r="C633" t="inlineStr">
        <is>
          <t>Sep</t>
        </is>
      </c>
      <c r="D633" t="inlineStr">
        <is>
          <t>North</t>
        </is>
      </c>
      <c r="E633" t="inlineStr">
        <is>
          <t>Marketplace</t>
        </is>
      </c>
      <c r="F633" t="inlineStr">
        <is>
          <t>Nest Basket</t>
        </is>
      </c>
      <c r="G633" t="inlineStr">
        <is>
          <t>Living</t>
        </is>
      </c>
      <c r="H633" t="n">
        <v>5</v>
      </c>
      <c r="I633" s="11" t="n">
        <v>55</v>
      </c>
      <c r="J633" s="12" t="n">
        <v>0.2</v>
      </c>
      <c r="K633" s="11">
        <f>H633*I633*(1-J633)</f>
        <v/>
      </c>
      <c r="L633" s="11" t="n">
        <v>24</v>
      </c>
      <c r="M633" s="11">
        <f>K633-(H633*L633)</f>
        <v/>
      </c>
      <c r="N633" s="11">
        <f>H633*15</f>
        <v/>
      </c>
    </row>
    <row r="634">
      <c r="A634" t="inlineStr">
        <is>
          <t>LL-00633</t>
        </is>
      </c>
      <c r="B634" s="10" t="n">
        <v>46071</v>
      </c>
      <c r="C634" t="inlineStr">
        <is>
          <t>Feb</t>
        </is>
      </c>
      <c r="D634" t="inlineStr">
        <is>
          <t>North</t>
        </is>
      </c>
      <c r="E634" t="inlineStr">
        <is>
          <t>Marketplace</t>
        </is>
      </c>
      <c r="F634" t="inlineStr">
        <is>
          <t>Halo Floor Lamp</t>
        </is>
      </c>
      <c r="G634" t="inlineStr">
        <is>
          <t>Lighting</t>
        </is>
      </c>
      <c r="H634" t="n">
        <v>6</v>
      </c>
      <c r="I634" s="11" t="n">
        <v>159</v>
      </c>
      <c r="J634" s="12" t="n">
        <v>0</v>
      </c>
      <c r="K634" s="11">
        <f>H634*I634*(1-J634)</f>
        <v/>
      </c>
      <c r="L634" s="11" t="n">
        <v>79</v>
      </c>
      <c r="M634" s="11">
        <f>K634-(H634*L634)</f>
        <v/>
      </c>
      <c r="N634" s="11">
        <f>H634*15</f>
        <v/>
      </c>
    </row>
    <row r="635">
      <c r="A635" t="inlineStr">
        <is>
          <t>LL-00634</t>
        </is>
      </c>
      <c r="B635" s="10" t="n">
        <v>46078</v>
      </c>
      <c r="C635" t="inlineStr">
        <is>
          <t>Feb</t>
        </is>
      </c>
      <c r="D635" t="inlineStr">
        <is>
          <t>East</t>
        </is>
      </c>
      <c r="E635" t="inlineStr">
        <is>
          <t>Online</t>
        </is>
      </c>
      <c r="F635" t="inlineStr">
        <is>
          <t>Luna Throw</t>
        </is>
      </c>
      <c r="G635" t="inlineStr">
        <is>
          <t>Living</t>
        </is>
      </c>
      <c r="H635" t="n">
        <v>7</v>
      </c>
      <c r="I635" s="11" t="n">
        <v>69</v>
      </c>
      <c r="J635" s="12" t="n">
        <v>0.1</v>
      </c>
      <c r="K635" s="11">
        <f>H635*I635*(1-J635)</f>
        <v/>
      </c>
      <c r="L635" s="11" t="n">
        <v>31</v>
      </c>
      <c r="M635" s="11">
        <f>K635-(H635*L635)</f>
        <v/>
      </c>
      <c r="N635" s="11">
        <f>H635*11</f>
        <v/>
      </c>
    </row>
    <row r="636">
      <c r="A636" t="inlineStr">
        <is>
          <t>LL-00635</t>
        </is>
      </c>
      <c r="B636" s="10" t="n">
        <v>46065</v>
      </c>
      <c r="C636" t="inlineStr">
        <is>
          <t>Feb</t>
        </is>
      </c>
      <c r="D636" t="inlineStr">
        <is>
          <t>South</t>
        </is>
      </c>
      <c r="E636" t="inlineStr">
        <is>
          <t>Marketplace</t>
        </is>
      </c>
      <c r="F636" t="inlineStr">
        <is>
          <t>Halo Floor Lamp</t>
        </is>
      </c>
      <c r="G636" t="inlineStr">
        <is>
          <t>Lighting</t>
        </is>
      </c>
      <c r="H636" t="n">
        <v>2</v>
      </c>
      <c r="I636" s="11" t="n">
        <v>159</v>
      </c>
      <c r="J636" s="12" t="n">
        <v>0</v>
      </c>
      <c r="K636" s="11">
        <f>H636*I636*(1-J636)</f>
        <v/>
      </c>
      <c r="L636" s="11" t="n">
        <v>79</v>
      </c>
      <c r="M636" s="11">
        <f>K636-(H636*L636)</f>
        <v/>
      </c>
      <c r="N636" s="11">
        <f>H636*15</f>
        <v/>
      </c>
    </row>
    <row r="637">
      <c r="A637" t="inlineStr">
        <is>
          <t>LL-00636</t>
        </is>
      </c>
      <c r="B637" s="10" t="n">
        <v>46067</v>
      </c>
      <c r="C637" t="inlineStr">
        <is>
          <t>Feb</t>
        </is>
      </c>
      <c r="D637" t="inlineStr">
        <is>
          <t>North</t>
        </is>
      </c>
      <c r="E637" t="inlineStr">
        <is>
          <t>Online</t>
        </is>
      </c>
      <c r="F637" t="inlineStr">
        <is>
          <t>Arc Side Table</t>
        </is>
      </c>
      <c r="G637" t="inlineStr">
        <is>
          <t>Living</t>
        </is>
      </c>
      <c r="H637" t="n">
        <v>1</v>
      </c>
      <c r="I637" s="11" t="n">
        <v>139</v>
      </c>
      <c r="J637" s="12" t="n">
        <v>0.1</v>
      </c>
      <c r="K637" s="11">
        <f>H637*I637*(1-J637)</f>
        <v/>
      </c>
      <c r="L637" s="11" t="n">
        <v>72</v>
      </c>
      <c r="M637" s="11">
        <f>K637-(H637*L637)</f>
        <v/>
      </c>
      <c r="N637" s="11">
        <f>H637*11</f>
        <v/>
      </c>
    </row>
    <row r="638">
      <c r="A638" t="inlineStr">
        <is>
          <t>LL-00637</t>
        </is>
      </c>
      <c r="B638" s="10" t="n">
        <v>46378</v>
      </c>
      <c r="C638" t="inlineStr">
        <is>
          <t>Dec</t>
        </is>
      </c>
      <c r="D638" t="inlineStr">
        <is>
          <t>West</t>
        </is>
      </c>
      <c r="E638" t="inlineStr">
        <is>
          <t>Online</t>
        </is>
      </c>
      <c r="F638" t="inlineStr">
        <is>
          <t>Luna Throw</t>
        </is>
      </c>
      <c r="G638" t="inlineStr">
        <is>
          <t>Living</t>
        </is>
      </c>
      <c r="H638" t="n">
        <v>6</v>
      </c>
      <c r="I638" s="11" t="n">
        <v>69</v>
      </c>
      <c r="J638" s="12" t="n">
        <v>0.1</v>
      </c>
      <c r="K638" s="11">
        <f>H638*I638*(1-J638)</f>
        <v/>
      </c>
      <c r="L638" s="11" t="n">
        <v>31</v>
      </c>
      <c r="M638" s="11">
        <f>K638-(H638*L638)</f>
        <v/>
      </c>
      <c r="N638" s="11">
        <f>H638*11</f>
        <v/>
      </c>
    </row>
    <row r="639">
      <c r="A639" t="inlineStr">
        <is>
          <t>LL-00638</t>
        </is>
      </c>
      <c r="B639" s="10" t="n">
        <v>46303</v>
      </c>
      <c r="C639" t="inlineStr">
        <is>
          <t>Oct</t>
        </is>
      </c>
      <c r="D639" t="inlineStr">
        <is>
          <t>West</t>
        </is>
      </c>
      <c r="E639" t="inlineStr">
        <is>
          <t>Retail</t>
        </is>
      </c>
      <c r="F639" t="inlineStr">
        <is>
          <t>Aurora Desk Lamp</t>
        </is>
      </c>
      <c r="G639" t="inlineStr">
        <is>
          <t>Lighting</t>
        </is>
      </c>
      <c r="H639" t="n">
        <v>2</v>
      </c>
      <c r="I639" s="11" t="n">
        <v>89</v>
      </c>
      <c r="J639" s="12" t="n">
        <v>0.1</v>
      </c>
      <c r="K639" s="11">
        <f>H639*I639*(1-J639)</f>
        <v/>
      </c>
      <c r="L639" s="11" t="n">
        <v>42</v>
      </c>
      <c r="M639" s="11">
        <f>K639-(H639*L639)</f>
        <v/>
      </c>
      <c r="N639" s="11">
        <f>H639*6</f>
        <v/>
      </c>
    </row>
    <row r="640">
      <c r="A640" t="inlineStr">
        <is>
          <t>LL-00639</t>
        </is>
      </c>
      <c r="B640" s="10" t="n">
        <v>46025</v>
      </c>
      <c r="C640" t="inlineStr">
        <is>
          <t>Jan</t>
        </is>
      </c>
      <c r="D640" t="inlineStr">
        <is>
          <t>South</t>
        </is>
      </c>
      <c r="E640" t="inlineStr">
        <is>
          <t>Marketplace</t>
        </is>
      </c>
      <c r="F640" t="inlineStr">
        <is>
          <t>Luna Throw</t>
        </is>
      </c>
      <c r="G640" t="inlineStr">
        <is>
          <t>Living</t>
        </is>
      </c>
      <c r="H640" t="n">
        <v>5</v>
      </c>
      <c r="I640" s="11" t="n">
        <v>69</v>
      </c>
      <c r="J640" s="12" t="n">
        <v>0.15</v>
      </c>
      <c r="K640" s="11">
        <f>H640*I640*(1-J640)</f>
        <v/>
      </c>
      <c r="L640" s="11" t="n">
        <v>31</v>
      </c>
      <c r="M640" s="11">
        <f>K640-(H640*L640)</f>
        <v/>
      </c>
      <c r="N640" s="11">
        <f>H640*15</f>
        <v/>
      </c>
    </row>
    <row r="641">
      <c r="A641" t="inlineStr">
        <is>
          <t>LL-00640</t>
        </is>
      </c>
      <c r="B641" s="10" t="n">
        <v>46266</v>
      </c>
      <c r="C641" t="inlineStr">
        <is>
          <t>Sep</t>
        </is>
      </c>
      <c r="D641" t="inlineStr">
        <is>
          <t>East</t>
        </is>
      </c>
      <c r="E641" t="inlineStr">
        <is>
          <t>Retail</t>
        </is>
      </c>
      <c r="F641" t="inlineStr">
        <is>
          <t>Focus Monitor Stand</t>
        </is>
      </c>
      <c r="G641" t="inlineStr">
        <is>
          <t>Workspace</t>
        </is>
      </c>
      <c r="H641" t="n">
        <v>5</v>
      </c>
      <c r="I641" s="11" t="n">
        <v>79</v>
      </c>
      <c r="J641" s="12" t="n">
        <v>0.15</v>
      </c>
      <c r="K641" s="11">
        <f>H641*I641*(1-J641)</f>
        <v/>
      </c>
      <c r="L641" s="11" t="n">
        <v>36</v>
      </c>
      <c r="M641" s="11">
        <f>K641-(H641*L641)</f>
        <v/>
      </c>
      <c r="N641" s="11">
        <f>H641*6</f>
        <v/>
      </c>
    </row>
    <row r="642">
      <c r="A642" t="inlineStr">
        <is>
          <t>LL-00641</t>
        </is>
      </c>
      <c r="B642" s="10" t="n">
        <v>46286</v>
      </c>
      <c r="C642" t="inlineStr">
        <is>
          <t>Sep</t>
        </is>
      </c>
      <c r="D642" t="inlineStr">
        <is>
          <t>West</t>
        </is>
      </c>
      <c r="E642" t="inlineStr">
        <is>
          <t>Online</t>
        </is>
      </c>
      <c r="F642" t="inlineStr">
        <is>
          <t>Focus Monitor Stand</t>
        </is>
      </c>
      <c r="G642" t="inlineStr">
        <is>
          <t>Workspace</t>
        </is>
      </c>
      <c r="H642" t="n">
        <v>5</v>
      </c>
      <c r="I642" s="11" t="n">
        <v>79</v>
      </c>
      <c r="J642" s="12" t="n">
        <v>0.15</v>
      </c>
      <c r="K642" s="11">
        <f>H642*I642*(1-J642)</f>
        <v/>
      </c>
      <c r="L642" s="11" t="n">
        <v>36</v>
      </c>
      <c r="M642" s="11">
        <f>K642-(H642*L642)</f>
        <v/>
      </c>
      <c r="N642" s="11">
        <f>H642*11</f>
        <v/>
      </c>
    </row>
    <row r="643">
      <c r="A643" t="inlineStr">
        <is>
          <t>LL-00642</t>
        </is>
      </c>
      <c r="B643" s="10" t="n">
        <v>46377</v>
      </c>
      <c r="C643" t="inlineStr">
        <is>
          <t>Dec</t>
        </is>
      </c>
      <c r="D643" t="inlineStr">
        <is>
          <t>West</t>
        </is>
      </c>
      <c r="E643" t="inlineStr">
        <is>
          <t>Retail</t>
        </is>
      </c>
      <c r="F643" t="inlineStr">
        <is>
          <t>Luna Throw</t>
        </is>
      </c>
      <c r="G643" t="inlineStr">
        <is>
          <t>Living</t>
        </is>
      </c>
      <c r="H643" t="n">
        <v>8</v>
      </c>
      <c r="I643" s="11" t="n">
        <v>69</v>
      </c>
      <c r="J643" s="12" t="n">
        <v>0</v>
      </c>
      <c r="K643" s="11">
        <f>H643*I643*(1-J643)</f>
        <v/>
      </c>
      <c r="L643" s="11" t="n">
        <v>31</v>
      </c>
      <c r="M643" s="11">
        <f>K643-(H643*L643)</f>
        <v/>
      </c>
      <c r="N643" s="11">
        <f>H643*6</f>
        <v/>
      </c>
    </row>
    <row r="644">
      <c r="A644" t="inlineStr">
        <is>
          <t>LL-00643</t>
        </is>
      </c>
      <c r="B644" s="10" t="n">
        <v>46299</v>
      </c>
      <c r="C644" t="inlineStr">
        <is>
          <t>Oct</t>
        </is>
      </c>
      <c r="D644" t="inlineStr">
        <is>
          <t>North</t>
        </is>
      </c>
      <c r="E644" t="inlineStr">
        <is>
          <t>Retail</t>
        </is>
      </c>
      <c r="F644" t="inlineStr">
        <is>
          <t>Luna Throw</t>
        </is>
      </c>
      <c r="G644" t="inlineStr">
        <is>
          <t>Living</t>
        </is>
      </c>
      <c r="H644" t="n">
        <v>6</v>
      </c>
      <c r="I644" s="11" t="n">
        <v>69</v>
      </c>
      <c r="J644" s="12" t="n">
        <v>0.1</v>
      </c>
      <c r="K644" s="11">
        <f>H644*I644*(1-J644)</f>
        <v/>
      </c>
      <c r="L644" s="11" t="n">
        <v>31</v>
      </c>
      <c r="M644" s="11">
        <f>K644-(H644*L644)</f>
        <v/>
      </c>
      <c r="N644" s="11">
        <f>H644*6</f>
        <v/>
      </c>
    </row>
    <row r="645">
      <c r="A645" t="inlineStr">
        <is>
          <t>LL-00644</t>
        </is>
      </c>
      <c r="B645" s="10" t="n">
        <v>46081</v>
      </c>
      <c r="C645" t="inlineStr">
        <is>
          <t>Feb</t>
        </is>
      </c>
      <c r="D645" t="inlineStr">
        <is>
          <t>North</t>
        </is>
      </c>
      <c r="E645" t="inlineStr">
        <is>
          <t>Online</t>
        </is>
      </c>
      <c r="F645" t="inlineStr">
        <is>
          <t>Luna Throw</t>
        </is>
      </c>
      <c r="G645" t="inlineStr">
        <is>
          <t>Living</t>
        </is>
      </c>
      <c r="H645" t="n">
        <v>7</v>
      </c>
      <c r="I645" s="11" t="n">
        <v>69</v>
      </c>
      <c r="J645" s="12" t="n">
        <v>0.1</v>
      </c>
      <c r="K645" s="11">
        <f>H645*I645*(1-J645)</f>
        <v/>
      </c>
      <c r="L645" s="11" t="n">
        <v>31</v>
      </c>
      <c r="M645" s="11">
        <f>K645-(H645*L645)</f>
        <v/>
      </c>
      <c r="N645" s="11">
        <f>H645*11</f>
        <v/>
      </c>
    </row>
    <row r="646">
      <c r="A646" t="inlineStr">
        <is>
          <t>LL-00645</t>
        </is>
      </c>
      <c r="B646" s="10" t="n">
        <v>46073</v>
      </c>
      <c r="C646" t="inlineStr">
        <is>
          <t>Feb</t>
        </is>
      </c>
      <c r="D646" t="inlineStr">
        <is>
          <t>West</t>
        </is>
      </c>
      <c r="E646" t="inlineStr">
        <is>
          <t>Retail</t>
        </is>
      </c>
      <c r="F646" t="inlineStr">
        <is>
          <t>Halo Floor Lamp</t>
        </is>
      </c>
      <c r="G646" t="inlineStr">
        <is>
          <t>Lighting</t>
        </is>
      </c>
      <c r="H646" t="n">
        <v>3</v>
      </c>
      <c r="I646" s="11" t="n">
        <v>159</v>
      </c>
      <c r="J646" s="12" t="n">
        <v>0.15</v>
      </c>
      <c r="K646" s="11">
        <f>H646*I646*(1-J646)</f>
        <v/>
      </c>
      <c r="L646" s="11" t="n">
        <v>79</v>
      </c>
      <c r="M646" s="11">
        <f>K646-(H646*L646)</f>
        <v/>
      </c>
      <c r="N646" s="11">
        <f>H646*6</f>
        <v/>
      </c>
    </row>
    <row r="647">
      <c r="A647" t="inlineStr">
        <is>
          <t>LL-00646</t>
        </is>
      </c>
      <c r="B647" s="10" t="n">
        <v>46233</v>
      </c>
      <c r="C647" t="inlineStr">
        <is>
          <t>Jul</t>
        </is>
      </c>
      <c r="D647" t="inlineStr">
        <is>
          <t>East</t>
        </is>
      </c>
      <c r="E647" t="inlineStr">
        <is>
          <t>Retail</t>
        </is>
      </c>
      <c r="F647" t="inlineStr">
        <is>
          <t>Arc Side Table</t>
        </is>
      </c>
      <c r="G647" t="inlineStr">
        <is>
          <t>Living</t>
        </is>
      </c>
      <c r="H647" t="n">
        <v>1</v>
      </c>
      <c r="I647" s="11" t="n">
        <v>139</v>
      </c>
      <c r="J647" s="12" t="n">
        <v>0</v>
      </c>
      <c r="K647" s="11">
        <f>H647*I647*(1-J647)</f>
        <v/>
      </c>
      <c r="L647" s="11" t="n">
        <v>72</v>
      </c>
      <c r="M647" s="11">
        <f>K647-(H647*L647)</f>
        <v/>
      </c>
      <c r="N647" s="11">
        <f>H647*6</f>
        <v/>
      </c>
    </row>
    <row r="648">
      <c r="A648" t="inlineStr">
        <is>
          <t>LL-00647</t>
        </is>
      </c>
      <c r="B648" s="10" t="n">
        <v>46373</v>
      </c>
      <c r="C648" t="inlineStr">
        <is>
          <t>Dec</t>
        </is>
      </c>
      <c r="D648" t="inlineStr">
        <is>
          <t>North</t>
        </is>
      </c>
      <c r="E648" t="inlineStr">
        <is>
          <t>Marketplace</t>
        </is>
      </c>
      <c r="F648" t="inlineStr">
        <is>
          <t>Aurora Desk Lamp</t>
        </is>
      </c>
      <c r="G648" t="inlineStr">
        <is>
          <t>Lighting</t>
        </is>
      </c>
      <c r="H648" t="n">
        <v>4</v>
      </c>
      <c r="I648" s="11" t="n">
        <v>89</v>
      </c>
      <c r="J648" s="12" t="n">
        <v>0.05</v>
      </c>
      <c r="K648" s="11">
        <f>H648*I648*(1-J648)</f>
        <v/>
      </c>
      <c r="L648" s="11" t="n">
        <v>42</v>
      </c>
      <c r="M648" s="11">
        <f>K648-(H648*L648)</f>
        <v/>
      </c>
      <c r="N648" s="11">
        <f>H648*15</f>
        <v/>
      </c>
    </row>
    <row r="649">
      <c r="A649" t="inlineStr">
        <is>
          <t>LL-00648</t>
        </is>
      </c>
      <c r="B649" s="10" t="n">
        <v>46285</v>
      </c>
      <c r="C649" t="inlineStr">
        <is>
          <t>Sep</t>
        </is>
      </c>
      <c r="D649" t="inlineStr">
        <is>
          <t>East</t>
        </is>
      </c>
      <c r="E649" t="inlineStr">
        <is>
          <t>Retail</t>
        </is>
      </c>
      <c r="F649" t="inlineStr">
        <is>
          <t>Focus Monitor Stand</t>
        </is>
      </c>
      <c r="G649" t="inlineStr">
        <is>
          <t>Workspace</t>
        </is>
      </c>
      <c r="H649" t="n">
        <v>4</v>
      </c>
      <c r="I649" s="11" t="n">
        <v>79</v>
      </c>
      <c r="J649" s="12" t="n">
        <v>0.05</v>
      </c>
      <c r="K649" s="11">
        <f>H649*I649*(1-J649)</f>
        <v/>
      </c>
      <c r="L649" s="11" t="n">
        <v>36</v>
      </c>
      <c r="M649" s="11">
        <f>K649-(H649*L649)</f>
        <v/>
      </c>
      <c r="N649" s="11">
        <f>H649*6</f>
        <v/>
      </c>
    </row>
    <row r="650">
      <c r="A650" t="inlineStr">
        <is>
          <t>LL-00649</t>
        </is>
      </c>
      <c r="B650" s="10" t="n">
        <v>46178</v>
      </c>
      <c r="C650" t="inlineStr">
        <is>
          <t>Jun</t>
        </is>
      </c>
      <c r="D650" t="inlineStr">
        <is>
          <t>West</t>
        </is>
      </c>
      <c r="E650" t="inlineStr">
        <is>
          <t>Marketplace</t>
        </is>
      </c>
      <c r="F650" t="inlineStr">
        <is>
          <t>Halo Floor Lamp</t>
        </is>
      </c>
      <c r="G650" t="inlineStr">
        <is>
          <t>Lighting</t>
        </is>
      </c>
      <c r="H650" t="n">
        <v>2</v>
      </c>
      <c r="I650" s="11" t="n">
        <v>159</v>
      </c>
      <c r="J650" s="12" t="n">
        <v>0.1</v>
      </c>
      <c r="K650" s="11">
        <f>H650*I650*(1-J650)</f>
        <v/>
      </c>
      <c r="L650" s="11" t="n">
        <v>79</v>
      </c>
      <c r="M650" s="11">
        <f>K650-(H650*L650)</f>
        <v/>
      </c>
      <c r="N650" s="11">
        <f>H650*15</f>
        <v/>
      </c>
    </row>
    <row r="651">
      <c r="A651" t="inlineStr">
        <is>
          <t>LL-00650</t>
        </is>
      </c>
      <c r="B651" s="10" t="n">
        <v>46340</v>
      </c>
      <c r="C651" t="inlineStr">
        <is>
          <t>Nov</t>
        </is>
      </c>
      <c r="D651" t="inlineStr">
        <is>
          <t>North</t>
        </is>
      </c>
      <c r="E651" t="inlineStr">
        <is>
          <t>Online</t>
        </is>
      </c>
      <c r="F651" t="inlineStr">
        <is>
          <t>Halo Floor Lamp</t>
        </is>
      </c>
      <c r="G651" t="inlineStr">
        <is>
          <t>Lighting</t>
        </is>
      </c>
      <c r="H651" t="n">
        <v>1</v>
      </c>
      <c r="I651" s="11" t="n">
        <v>159</v>
      </c>
      <c r="J651" s="12" t="n">
        <v>0.1</v>
      </c>
      <c r="K651" s="11">
        <f>H651*I651*(1-J651)</f>
        <v/>
      </c>
      <c r="L651" s="11" t="n">
        <v>79</v>
      </c>
      <c r="M651" s="11">
        <f>K651-(H651*L651)</f>
        <v/>
      </c>
      <c r="N651" s="11">
        <f>H651*11</f>
        <v/>
      </c>
    </row>
    <row r="652">
      <c r="A652" t="inlineStr">
        <is>
          <t>LL-00651</t>
        </is>
      </c>
      <c r="B652" s="10" t="n">
        <v>46245</v>
      </c>
      <c r="C652" t="inlineStr">
        <is>
          <t>Aug</t>
        </is>
      </c>
      <c r="D652" t="inlineStr">
        <is>
          <t>South</t>
        </is>
      </c>
      <c r="E652" t="inlineStr">
        <is>
          <t>Online</t>
        </is>
      </c>
      <c r="F652" t="inlineStr">
        <is>
          <t>Luna Throw</t>
        </is>
      </c>
      <c r="G652" t="inlineStr">
        <is>
          <t>Living</t>
        </is>
      </c>
      <c r="H652" t="n">
        <v>6</v>
      </c>
      <c r="I652" s="11" t="n">
        <v>69</v>
      </c>
      <c r="J652" s="12" t="n">
        <v>0</v>
      </c>
      <c r="K652" s="11">
        <f>H652*I652*(1-J652)</f>
        <v/>
      </c>
      <c r="L652" s="11" t="n">
        <v>31</v>
      </c>
      <c r="M652" s="11">
        <f>K652-(H652*L652)</f>
        <v/>
      </c>
      <c r="N652" s="11">
        <f>H652*11</f>
        <v/>
      </c>
    </row>
    <row r="653">
      <c r="A653" t="inlineStr">
        <is>
          <t>LL-00652</t>
        </is>
      </c>
      <c r="B653" s="10" t="n">
        <v>46181</v>
      </c>
      <c r="C653" t="inlineStr">
        <is>
          <t>Jun</t>
        </is>
      </c>
      <c r="D653" t="inlineStr">
        <is>
          <t>East</t>
        </is>
      </c>
      <c r="E653" t="inlineStr">
        <is>
          <t>Marketplace</t>
        </is>
      </c>
      <c r="F653" t="inlineStr">
        <is>
          <t>Arc Side Table</t>
        </is>
      </c>
      <c r="G653" t="inlineStr">
        <is>
          <t>Living</t>
        </is>
      </c>
      <c r="H653" t="n">
        <v>5</v>
      </c>
      <c r="I653" s="11" t="n">
        <v>139</v>
      </c>
      <c r="J653" s="12" t="n">
        <v>0.1</v>
      </c>
      <c r="K653" s="11">
        <f>H653*I653*(1-J653)</f>
        <v/>
      </c>
      <c r="L653" s="11" t="n">
        <v>72</v>
      </c>
      <c r="M653" s="11">
        <f>K653-(H653*L653)</f>
        <v/>
      </c>
      <c r="N653" s="11">
        <f>H653*15</f>
        <v/>
      </c>
    </row>
    <row r="654">
      <c r="A654" t="inlineStr">
        <is>
          <t>LL-00653</t>
        </is>
      </c>
      <c r="B654" s="10" t="n">
        <v>46386</v>
      </c>
      <c r="C654" t="inlineStr">
        <is>
          <t>Dec</t>
        </is>
      </c>
      <c r="D654" t="inlineStr">
        <is>
          <t>South</t>
        </is>
      </c>
      <c r="E654" t="inlineStr">
        <is>
          <t>Retail</t>
        </is>
      </c>
      <c r="F654" t="inlineStr">
        <is>
          <t>Luna Throw</t>
        </is>
      </c>
      <c r="G654" t="inlineStr">
        <is>
          <t>Living</t>
        </is>
      </c>
      <c r="H654" t="n">
        <v>8</v>
      </c>
      <c r="I654" s="11" t="n">
        <v>69</v>
      </c>
      <c r="J654" s="12" t="n">
        <v>0.2</v>
      </c>
      <c r="K654" s="11">
        <f>H654*I654*(1-J654)</f>
        <v/>
      </c>
      <c r="L654" s="11" t="n">
        <v>31</v>
      </c>
      <c r="M654" s="11">
        <f>K654-(H654*L654)</f>
        <v/>
      </c>
      <c r="N654" s="11">
        <f>H654*6</f>
        <v/>
      </c>
    </row>
    <row r="655">
      <c r="A655" t="inlineStr">
        <is>
          <t>LL-00654</t>
        </is>
      </c>
      <c r="B655" s="10" t="n">
        <v>46172</v>
      </c>
      <c r="C655" t="inlineStr">
        <is>
          <t>May</t>
        </is>
      </c>
      <c r="D655" t="inlineStr">
        <is>
          <t>West</t>
        </is>
      </c>
      <c r="E655" t="inlineStr">
        <is>
          <t>Marketplace</t>
        </is>
      </c>
      <c r="F655" t="inlineStr">
        <is>
          <t>Halo Floor Lamp</t>
        </is>
      </c>
      <c r="G655" t="inlineStr">
        <is>
          <t>Lighting</t>
        </is>
      </c>
      <c r="H655" t="n">
        <v>3</v>
      </c>
      <c r="I655" s="11" t="n">
        <v>159</v>
      </c>
      <c r="J655" s="12" t="n">
        <v>0.15</v>
      </c>
      <c r="K655" s="11">
        <f>H655*I655*(1-J655)</f>
        <v/>
      </c>
      <c r="L655" s="11" t="n">
        <v>79</v>
      </c>
      <c r="M655" s="11">
        <f>K655-(H655*L655)</f>
        <v/>
      </c>
      <c r="N655" s="11">
        <f>H655*15</f>
        <v/>
      </c>
    </row>
    <row r="656">
      <c r="A656" t="inlineStr">
        <is>
          <t>LL-00655</t>
        </is>
      </c>
      <c r="B656" s="10" t="n">
        <v>46238</v>
      </c>
      <c r="C656" t="inlineStr">
        <is>
          <t>Aug</t>
        </is>
      </c>
      <c r="D656" t="inlineStr">
        <is>
          <t>South</t>
        </is>
      </c>
      <c r="E656" t="inlineStr">
        <is>
          <t>Online</t>
        </is>
      </c>
      <c r="F656" t="inlineStr">
        <is>
          <t>Luna Throw</t>
        </is>
      </c>
      <c r="G656" t="inlineStr">
        <is>
          <t>Living</t>
        </is>
      </c>
      <c r="H656" t="n">
        <v>6</v>
      </c>
      <c r="I656" s="11" t="n">
        <v>69</v>
      </c>
      <c r="J656" s="12" t="n">
        <v>0.15</v>
      </c>
      <c r="K656" s="11">
        <f>H656*I656*(1-J656)</f>
        <v/>
      </c>
      <c r="L656" s="11" t="n">
        <v>31</v>
      </c>
      <c r="M656" s="11">
        <f>K656-(H656*L656)</f>
        <v/>
      </c>
      <c r="N656" s="11">
        <f>H656*11</f>
        <v/>
      </c>
    </row>
    <row r="657">
      <c r="A657" t="inlineStr">
        <is>
          <t>LL-00656</t>
        </is>
      </c>
      <c r="B657" s="10" t="n">
        <v>46062</v>
      </c>
      <c r="C657" t="inlineStr">
        <is>
          <t>Feb</t>
        </is>
      </c>
      <c r="D657" t="inlineStr">
        <is>
          <t>North</t>
        </is>
      </c>
      <c r="E657" t="inlineStr">
        <is>
          <t>Retail</t>
        </is>
      </c>
      <c r="F657" t="inlineStr">
        <is>
          <t>Focus Monitor Stand</t>
        </is>
      </c>
      <c r="G657" t="inlineStr">
        <is>
          <t>Workspace</t>
        </is>
      </c>
      <c r="H657" t="n">
        <v>5</v>
      </c>
      <c r="I657" s="11" t="n">
        <v>79</v>
      </c>
      <c r="J657" s="12" t="n">
        <v>0.05</v>
      </c>
      <c r="K657" s="11">
        <f>H657*I657*(1-J657)</f>
        <v/>
      </c>
      <c r="L657" s="11" t="n">
        <v>36</v>
      </c>
      <c r="M657" s="11">
        <f>K657-(H657*L657)</f>
        <v/>
      </c>
      <c r="N657" s="11">
        <f>H657*6</f>
        <v/>
      </c>
    </row>
    <row r="658">
      <c r="A658" t="inlineStr">
        <is>
          <t>LL-00657</t>
        </is>
      </c>
      <c r="B658" s="10" t="n">
        <v>46053</v>
      </c>
      <c r="C658" t="inlineStr">
        <is>
          <t>Jan</t>
        </is>
      </c>
      <c r="D658" t="inlineStr">
        <is>
          <t>North</t>
        </is>
      </c>
      <c r="E658" t="inlineStr">
        <is>
          <t>Marketplace</t>
        </is>
      </c>
      <c r="F658" t="inlineStr">
        <is>
          <t>Aurora Desk Lamp</t>
        </is>
      </c>
      <c r="G658" t="inlineStr">
        <is>
          <t>Lighting</t>
        </is>
      </c>
      <c r="H658" t="n">
        <v>6</v>
      </c>
      <c r="I658" s="11" t="n">
        <v>89</v>
      </c>
      <c r="J658" s="12" t="n">
        <v>0.15</v>
      </c>
      <c r="K658" s="11">
        <f>H658*I658*(1-J658)</f>
        <v/>
      </c>
      <c r="L658" s="11" t="n">
        <v>42</v>
      </c>
      <c r="M658" s="11">
        <f>K658-(H658*L658)</f>
        <v/>
      </c>
      <c r="N658" s="11">
        <f>H658*15</f>
        <v/>
      </c>
    </row>
    <row r="659">
      <c r="A659" t="inlineStr">
        <is>
          <t>LL-00658</t>
        </is>
      </c>
      <c r="B659" s="10" t="n">
        <v>46077</v>
      </c>
      <c r="C659" t="inlineStr">
        <is>
          <t>Feb</t>
        </is>
      </c>
      <c r="D659" t="inlineStr">
        <is>
          <t>North</t>
        </is>
      </c>
      <c r="E659" t="inlineStr">
        <is>
          <t>Online</t>
        </is>
      </c>
      <c r="F659" t="inlineStr">
        <is>
          <t>Halo Floor Lamp</t>
        </is>
      </c>
      <c r="G659" t="inlineStr">
        <is>
          <t>Lighting</t>
        </is>
      </c>
      <c r="H659" t="n">
        <v>5</v>
      </c>
      <c r="I659" s="11" t="n">
        <v>159</v>
      </c>
      <c r="J659" s="12" t="n">
        <v>0.15</v>
      </c>
      <c r="K659" s="11">
        <f>H659*I659*(1-J659)</f>
        <v/>
      </c>
      <c r="L659" s="11" t="n">
        <v>79</v>
      </c>
      <c r="M659" s="11">
        <f>K659-(H659*L659)</f>
        <v/>
      </c>
      <c r="N659" s="11">
        <f>H659*11</f>
        <v/>
      </c>
    </row>
    <row r="660">
      <c r="A660" t="inlineStr">
        <is>
          <t>LL-00659</t>
        </is>
      </c>
      <c r="B660" s="10" t="n">
        <v>46221</v>
      </c>
      <c r="C660" t="inlineStr">
        <is>
          <t>Jul</t>
        </is>
      </c>
      <c r="D660" t="inlineStr">
        <is>
          <t>North</t>
        </is>
      </c>
      <c r="E660" t="inlineStr">
        <is>
          <t>Online</t>
        </is>
      </c>
      <c r="F660" t="inlineStr">
        <is>
          <t>Focus Monitor Stand</t>
        </is>
      </c>
      <c r="G660" t="inlineStr">
        <is>
          <t>Workspace</t>
        </is>
      </c>
      <c r="H660" t="n">
        <v>3</v>
      </c>
      <c r="I660" s="11" t="n">
        <v>79</v>
      </c>
      <c r="J660" s="12" t="n">
        <v>0</v>
      </c>
      <c r="K660" s="11">
        <f>H660*I660*(1-J660)</f>
        <v/>
      </c>
      <c r="L660" s="11" t="n">
        <v>36</v>
      </c>
      <c r="M660" s="11">
        <f>K660-(H660*L660)</f>
        <v/>
      </c>
      <c r="N660" s="11">
        <f>H660*11</f>
        <v/>
      </c>
    </row>
    <row r="661">
      <c r="A661" t="inlineStr">
        <is>
          <t>LL-00660</t>
        </is>
      </c>
      <c r="B661" s="10" t="n">
        <v>46186</v>
      </c>
      <c r="C661" t="inlineStr">
        <is>
          <t>Jun</t>
        </is>
      </c>
      <c r="D661" t="inlineStr">
        <is>
          <t>North</t>
        </is>
      </c>
      <c r="E661" t="inlineStr">
        <is>
          <t>Retail</t>
        </is>
      </c>
      <c r="F661" t="inlineStr">
        <is>
          <t>Luna Throw</t>
        </is>
      </c>
      <c r="G661" t="inlineStr">
        <is>
          <t>Living</t>
        </is>
      </c>
      <c r="H661" t="n">
        <v>4</v>
      </c>
      <c r="I661" s="11" t="n">
        <v>69</v>
      </c>
      <c r="J661" s="12" t="n">
        <v>0.1</v>
      </c>
      <c r="K661" s="11">
        <f>H661*I661*(1-J661)</f>
        <v/>
      </c>
      <c r="L661" s="11" t="n">
        <v>31</v>
      </c>
      <c r="M661" s="11">
        <f>K661-(H661*L661)</f>
        <v/>
      </c>
      <c r="N661" s="11">
        <f>H661*6</f>
        <v/>
      </c>
    </row>
    <row r="662">
      <c r="A662" t="inlineStr">
        <is>
          <t>LL-00661</t>
        </is>
      </c>
      <c r="B662" s="10" t="n">
        <v>46285</v>
      </c>
      <c r="C662" t="inlineStr">
        <is>
          <t>Sep</t>
        </is>
      </c>
      <c r="D662" t="inlineStr">
        <is>
          <t>South</t>
        </is>
      </c>
      <c r="E662" t="inlineStr">
        <is>
          <t>Retail</t>
        </is>
      </c>
      <c r="F662" t="inlineStr">
        <is>
          <t>Focus Monitor Stand</t>
        </is>
      </c>
      <c r="G662" t="inlineStr">
        <is>
          <t>Workspace</t>
        </is>
      </c>
      <c r="H662" t="n">
        <v>6</v>
      </c>
      <c r="I662" s="11" t="n">
        <v>79</v>
      </c>
      <c r="J662" s="12" t="n">
        <v>0.15</v>
      </c>
      <c r="K662" s="11">
        <f>H662*I662*(1-J662)</f>
        <v/>
      </c>
      <c r="L662" s="11" t="n">
        <v>36</v>
      </c>
      <c r="M662" s="11">
        <f>K662-(H662*L662)</f>
        <v/>
      </c>
      <c r="N662" s="11">
        <f>H662*6</f>
        <v/>
      </c>
    </row>
    <row r="663">
      <c r="A663" t="inlineStr">
        <is>
          <t>LL-00662</t>
        </is>
      </c>
      <c r="B663" s="10" t="n">
        <v>46319</v>
      </c>
      <c r="C663" t="inlineStr">
        <is>
          <t>Oct</t>
        </is>
      </c>
      <c r="D663" t="inlineStr">
        <is>
          <t>South</t>
        </is>
      </c>
      <c r="E663" t="inlineStr">
        <is>
          <t>Retail</t>
        </is>
      </c>
      <c r="F663" t="inlineStr">
        <is>
          <t>Focus Monitor Stand</t>
        </is>
      </c>
      <c r="G663" t="inlineStr">
        <is>
          <t>Workspace</t>
        </is>
      </c>
      <c r="H663" t="n">
        <v>4</v>
      </c>
      <c r="I663" s="11" t="n">
        <v>79</v>
      </c>
      <c r="J663" s="12" t="n">
        <v>0.1</v>
      </c>
      <c r="K663" s="11">
        <f>H663*I663*(1-J663)</f>
        <v/>
      </c>
      <c r="L663" s="11" t="n">
        <v>36</v>
      </c>
      <c r="M663" s="11">
        <f>K663-(H663*L663)</f>
        <v/>
      </c>
      <c r="N663" s="11">
        <f>H663*6</f>
        <v/>
      </c>
    </row>
    <row r="664">
      <c r="A664" t="inlineStr">
        <is>
          <t>LL-00663</t>
        </is>
      </c>
      <c r="B664" s="10" t="n">
        <v>46197</v>
      </c>
      <c r="C664" t="inlineStr">
        <is>
          <t>Jun</t>
        </is>
      </c>
      <c r="D664" t="inlineStr">
        <is>
          <t>North</t>
        </is>
      </c>
      <c r="E664" t="inlineStr">
        <is>
          <t>Online</t>
        </is>
      </c>
      <c r="F664" t="inlineStr">
        <is>
          <t>Aurora Desk Lamp</t>
        </is>
      </c>
      <c r="G664" t="inlineStr">
        <is>
          <t>Lighting</t>
        </is>
      </c>
      <c r="H664" t="n">
        <v>8</v>
      </c>
      <c r="I664" s="11" t="n">
        <v>89</v>
      </c>
      <c r="J664" s="12" t="n">
        <v>0.1</v>
      </c>
      <c r="K664" s="11">
        <f>H664*I664*(1-J664)</f>
        <v/>
      </c>
      <c r="L664" s="11" t="n">
        <v>42</v>
      </c>
      <c r="M664" s="11">
        <f>K664-(H664*L664)</f>
        <v/>
      </c>
      <c r="N664" s="11">
        <f>H664*11</f>
        <v/>
      </c>
    </row>
    <row r="665">
      <c r="A665" t="inlineStr">
        <is>
          <t>LL-00664</t>
        </is>
      </c>
      <c r="B665" s="10" t="n">
        <v>46276</v>
      </c>
      <c r="C665" t="inlineStr">
        <is>
          <t>Sep</t>
        </is>
      </c>
      <c r="D665" t="inlineStr">
        <is>
          <t>North</t>
        </is>
      </c>
      <c r="E665" t="inlineStr">
        <is>
          <t>Retail</t>
        </is>
      </c>
      <c r="F665" t="inlineStr">
        <is>
          <t>Luna Throw</t>
        </is>
      </c>
      <c r="G665" t="inlineStr">
        <is>
          <t>Living</t>
        </is>
      </c>
      <c r="H665" t="n">
        <v>3</v>
      </c>
      <c r="I665" s="11" t="n">
        <v>69</v>
      </c>
      <c r="J665" s="12" t="n">
        <v>0.1</v>
      </c>
      <c r="K665" s="11">
        <f>H665*I665*(1-J665)</f>
        <v/>
      </c>
      <c r="L665" s="11" t="n">
        <v>31</v>
      </c>
      <c r="M665" s="11">
        <f>K665-(H665*L665)</f>
        <v/>
      </c>
      <c r="N665" s="11">
        <f>H665*6</f>
        <v/>
      </c>
    </row>
    <row r="666">
      <c r="A666" t="inlineStr">
        <is>
          <t>LL-00665</t>
        </is>
      </c>
      <c r="B666" s="10" t="n">
        <v>46281</v>
      </c>
      <c r="C666" t="inlineStr">
        <is>
          <t>Sep</t>
        </is>
      </c>
      <c r="D666" t="inlineStr">
        <is>
          <t>North</t>
        </is>
      </c>
      <c r="E666" t="inlineStr">
        <is>
          <t>Marketplace</t>
        </is>
      </c>
      <c r="F666" t="inlineStr">
        <is>
          <t>Arc Side Table</t>
        </is>
      </c>
      <c r="G666" t="inlineStr">
        <is>
          <t>Living</t>
        </is>
      </c>
      <c r="H666" t="n">
        <v>7</v>
      </c>
      <c r="I666" s="11" t="n">
        <v>139</v>
      </c>
      <c r="J666" s="12" t="n">
        <v>0.2</v>
      </c>
      <c r="K666" s="11">
        <f>H666*I666*(1-J666)</f>
        <v/>
      </c>
      <c r="L666" s="11" t="n">
        <v>72</v>
      </c>
      <c r="M666" s="11">
        <f>K666-(H666*L666)</f>
        <v/>
      </c>
      <c r="N666" s="11">
        <f>H666*15</f>
        <v/>
      </c>
    </row>
    <row r="667">
      <c r="A667" t="inlineStr">
        <is>
          <t>LL-00666</t>
        </is>
      </c>
      <c r="B667" s="10" t="n">
        <v>46317</v>
      </c>
      <c r="C667" t="inlineStr">
        <is>
          <t>Oct</t>
        </is>
      </c>
      <c r="D667" t="inlineStr">
        <is>
          <t>North</t>
        </is>
      </c>
      <c r="E667" t="inlineStr">
        <is>
          <t>Marketplace</t>
        </is>
      </c>
      <c r="F667" t="inlineStr">
        <is>
          <t>Aurora Desk Lamp</t>
        </is>
      </c>
      <c r="G667" t="inlineStr">
        <is>
          <t>Lighting</t>
        </is>
      </c>
      <c r="H667" t="n">
        <v>1</v>
      </c>
      <c r="I667" s="11" t="n">
        <v>89</v>
      </c>
      <c r="J667" s="12" t="n">
        <v>0.05</v>
      </c>
      <c r="K667" s="11">
        <f>H667*I667*(1-J667)</f>
        <v/>
      </c>
      <c r="L667" s="11" t="n">
        <v>42</v>
      </c>
      <c r="M667" s="11">
        <f>K667-(H667*L667)</f>
        <v/>
      </c>
      <c r="N667" s="11">
        <f>H667*15</f>
        <v/>
      </c>
    </row>
    <row r="668">
      <c r="A668" t="inlineStr">
        <is>
          <t>LL-00667</t>
        </is>
      </c>
      <c r="B668" s="10" t="n">
        <v>46056</v>
      </c>
      <c r="C668" t="inlineStr">
        <is>
          <t>Feb</t>
        </is>
      </c>
      <c r="D668" t="inlineStr">
        <is>
          <t>West</t>
        </is>
      </c>
      <c r="E668" t="inlineStr">
        <is>
          <t>Retail</t>
        </is>
      </c>
      <c r="F668" t="inlineStr">
        <is>
          <t>Focus Monitor Stand</t>
        </is>
      </c>
      <c r="G668" t="inlineStr">
        <is>
          <t>Workspace</t>
        </is>
      </c>
      <c r="H668" t="n">
        <v>4</v>
      </c>
      <c r="I668" s="11" t="n">
        <v>79</v>
      </c>
      <c r="J668" s="12" t="n">
        <v>0.05</v>
      </c>
      <c r="K668" s="11">
        <f>H668*I668*(1-J668)</f>
        <v/>
      </c>
      <c r="L668" s="11" t="n">
        <v>36</v>
      </c>
      <c r="M668" s="11">
        <f>K668-(H668*L668)</f>
        <v/>
      </c>
      <c r="N668" s="11">
        <f>H668*6</f>
        <v/>
      </c>
    </row>
    <row r="669">
      <c r="A669" t="inlineStr">
        <is>
          <t>LL-00668</t>
        </is>
      </c>
      <c r="B669" s="10" t="n">
        <v>46212</v>
      </c>
      <c r="C669" t="inlineStr">
        <is>
          <t>Jul</t>
        </is>
      </c>
      <c r="D669" t="inlineStr">
        <is>
          <t>East</t>
        </is>
      </c>
      <c r="E669" t="inlineStr">
        <is>
          <t>Retail</t>
        </is>
      </c>
      <c r="F669" t="inlineStr">
        <is>
          <t>Nest Basket</t>
        </is>
      </c>
      <c r="G669" t="inlineStr">
        <is>
          <t>Living</t>
        </is>
      </c>
      <c r="H669" t="n">
        <v>4</v>
      </c>
      <c r="I669" s="11" t="n">
        <v>55</v>
      </c>
      <c r="J669" s="12" t="n">
        <v>0.15</v>
      </c>
      <c r="K669" s="11">
        <f>H669*I669*(1-J669)</f>
        <v/>
      </c>
      <c r="L669" s="11" t="n">
        <v>24</v>
      </c>
      <c r="M669" s="11">
        <f>K669-(H669*L669)</f>
        <v/>
      </c>
      <c r="N669" s="11">
        <f>H669*6</f>
        <v/>
      </c>
    </row>
    <row r="670">
      <c r="A670" t="inlineStr">
        <is>
          <t>LL-00669</t>
        </is>
      </c>
      <c r="B670" s="10" t="n">
        <v>46059</v>
      </c>
      <c r="C670" t="inlineStr">
        <is>
          <t>Feb</t>
        </is>
      </c>
      <c r="D670" t="inlineStr">
        <is>
          <t>West</t>
        </is>
      </c>
      <c r="E670" t="inlineStr">
        <is>
          <t>Retail</t>
        </is>
      </c>
      <c r="F670" t="inlineStr">
        <is>
          <t>Focus Monitor Stand</t>
        </is>
      </c>
      <c r="G670" t="inlineStr">
        <is>
          <t>Workspace</t>
        </is>
      </c>
      <c r="H670" t="n">
        <v>4</v>
      </c>
      <c r="I670" s="11" t="n">
        <v>79</v>
      </c>
      <c r="J670" s="12" t="n">
        <v>0.15</v>
      </c>
      <c r="K670" s="11">
        <f>H670*I670*(1-J670)</f>
        <v/>
      </c>
      <c r="L670" s="11" t="n">
        <v>36</v>
      </c>
      <c r="M670" s="11">
        <f>K670-(H670*L670)</f>
        <v/>
      </c>
      <c r="N670" s="11">
        <f>H670*6</f>
        <v/>
      </c>
    </row>
    <row r="671">
      <c r="A671" t="inlineStr">
        <is>
          <t>LL-00670</t>
        </is>
      </c>
      <c r="B671" s="10" t="n">
        <v>46351</v>
      </c>
      <c r="C671" t="inlineStr">
        <is>
          <t>Nov</t>
        </is>
      </c>
      <c r="D671" t="inlineStr">
        <is>
          <t>South</t>
        </is>
      </c>
      <c r="E671" t="inlineStr">
        <is>
          <t>Retail</t>
        </is>
      </c>
      <c r="F671" t="inlineStr">
        <is>
          <t>Aurora Desk Lamp</t>
        </is>
      </c>
      <c r="G671" t="inlineStr">
        <is>
          <t>Lighting</t>
        </is>
      </c>
      <c r="H671" t="n">
        <v>1</v>
      </c>
      <c r="I671" s="11" t="n">
        <v>89</v>
      </c>
      <c r="J671" s="12" t="n">
        <v>0.05</v>
      </c>
      <c r="K671" s="11">
        <f>H671*I671*(1-J671)</f>
        <v/>
      </c>
      <c r="L671" s="11" t="n">
        <v>42</v>
      </c>
      <c r="M671" s="11">
        <f>K671-(H671*L671)</f>
        <v/>
      </c>
      <c r="N671" s="11">
        <f>H671*6</f>
        <v/>
      </c>
    </row>
    <row r="672">
      <c r="A672" t="inlineStr">
        <is>
          <t>LL-00671</t>
        </is>
      </c>
      <c r="B672" s="10" t="n">
        <v>46376</v>
      </c>
      <c r="C672" t="inlineStr">
        <is>
          <t>Dec</t>
        </is>
      </c>
      <c r="D672" t="inlineStr">
        <is>
          <t>North</t>
        </is>
      </c>
      <c r="E672" t="inlineStr">
        <is>
          <t>Marketplace</t>
        </is>
      </c>
      <c r="F672" t="inlineStr">
        <is>
          <t>Nest Basket</t>
        </is>
      </c>
      <c r="G672" t="inlineStr">
        <is>
          <t>Living</t>
        </is>
      </c>
      <c r="H672" t="n">
        <v>6</v>
      </c>
      <c r="I672" s="11" t="n">
        <v>55</v>
      </c>
      <c r="J672" s="12" t="n">
        <v>0.2</v>
      </c>
      <c r="K672" s="11">
        <f>H672*I672*(1-J672)</f>
        <v/>
      </c>
      <c r="L672" s="11" t="n">
        <v>24</v>
      </c>
      <c r="M672" s="11">
        <f>K672-(H672*L672)</f>
        <v/>
      </c>
      <c r="N672" s="11">
        <f>H672*15</f>
        <v/>
      </c>
    </row>
    <row r="673">
      <c r="A673" t="inlineStr">
        <is>
          <t>LL-00672</t>
        </is>
      </c>
      <c r="B673" s="10" t="n">
        <v>46111</v>
      </c>
      <c r="C673" t="inlineStr">
        <is>
          <t>Mar</t>
        </is>
      </c>
      <c r="D673" t="inlineStr">
        <is>
          <t>East</t>
        </is>
      </c>
      <c r="E673" t="inlineStr">
        <is>
          <t>Online</t>
        </is>
      </c>
      <c r="F673" t="inlineStr">
        <is>
          <t>Nest Basket</t>
        </is>
      </c>
      <c r="G673" t="inlineStr">
        <is>
          <t>Living</t>
        </is>
      </c>
      <c r="H673" t="n">
        <v>6</v>
      </c>
      <c r="I673" s="11" t="n">
        <v>55</v>
      </c>
      <c r="J673" s="12" t="n">
        <v>0.2</v>
      </c>
      <c r="K673" s="11">
        <f>H673*I673*(1-J673)</f>
        <v/>
      </c>
      <c r="L673" s="11" t="n">
        <v>24</v>
      </c>
      <c r="M673" s="11">
        <f>K673-(H673*L673)</f>
        <v/>
      </c>
      <c r="N673" s="11">
        <f>H673*11</f>
        <v/>
      </c>
    </row>
    <row r="674">
      <c r="A674" t="inlineStr">
        <is>
          <t>LL-00673</t>
        </is>
      </c>
      <c r="B674" s="10" t="n">
        <v>46032</v>
      </c>
      <c r="C674" t="inlineStr">
        <is>
          <t>Jan</t>
        </is>
      </c>
      <c r="D674" t="inlineStr">
        <is>
          <t>East</t>
        </is>
      </c>
      <c r="E674" t="inlineStr">
        <is>
          <t>Online</t>
        </is>
      </c>
      <c r="F674" t="inlineStr">
        <is>
          <t>Halo Floor Lamp</t>
        </is>
      </c>
      <c r="G674" t="inlineStr">
        <is>
          <t>Lighting</t>
        </is>
      </c>
      <c r="H674" t="n">
        <v>4</v>
      </c>
      <c r="I674" s="11" t="n">
        <v>159</v>
      </c>
      <c r="J674" s="12" t="n">
        <v>0.1</v>
      </c>
      <c r="K674" s="11">
        <f>H674*I674*(1-J674)</f>
        <v/>
      </c>
      <c r="L674" s="11" t="n">
        <v>79</v>
      </c>
      <c r="M674" s="11">
        <f>K674-(H674*L674)</f>
        <v/>
      </c>
      <c r="N674" s="11">
        <f>H674*11</f>
        <v/>
      </c>
    </row>
    <row r="675">
      <c r="A675" t="inlineStr">
        <is>
          <t>LL-00674</t>
        </is>
      </c>
      <c r="B675" s="10" t="n">
        <v>46147</v>
      </c>
      <c r="C675" t="inlineStr">
        <is>
          <t>May</t>
        </is>
      </c>
      <c r="D675" t="inlineStr">
        <is>
          <t>East</t>
        </is>
      </c>
      <c r="E675" t="inlineStr">
        <is>
          <t>Online</t>
        </is>
      </c>
      <c r="F675" t="inlineStr">
        <is>
          <t>Focus Monitor Stand</t>
        </is>
      </c>
      <c r="G675" t="inlineStr">
        <is>
          <t>Workspace</t>
        </is>
      </c>
      <c r="H675" t="n">
        <v>6</v>
      </c>
      <c r="I675" s="11" t="n">
        <v>79</v>
      </c>
      <c r="J675" s="12" t="n">
        <v>0.1</v>
      </c>
      <c r="K675" s="11">
        <f>H675*I675*(1-J675)</f>
        <v/>
      </c>
      <c r="L675" s="11" t="n">
        <v>36</v>
      </c>
      <c r="M675" s="11">
        <f>K675-(H675*L675)</f>
        <v/>
      </c>
      <c r="N675" s="11">
        <f>H675*11</f>
        <v/>
      </c>
    </row>
    <row r="676">
      <c r="A676" t="inlineStr">
        <is>
          <t>LL-00675</t>
        </is>
      </c>
      <c r="B676" s="10" t="n">
        <v>46361</v>
      </c>
      <c r="C676" t="inlineStr">
        <is>
          <t>Dec</t>
        </is>
      </c>
      <c r="D676" t="inlineStr">
        <is>
          <t>North</t>
        </is>
      </c>
      <c r="E676" t="inlineStr">
        <is>
          <t>Online</t>
        </is>
      </c>
      <c r="F676" t="inlineStr">
        <is>
          <t>Halo Floor Lamp</t>
        </is>
      </c>
      <c r="G676" t="inlineStr">
        <is>
          <t>Lighting</t>
        </is>
      </c>
      <c r="H676" t="n">
        <v>7</v>
      </c>
      <c r="I676" s="11" t="n">
        <v>159</v>
      </c>
      <c r="J676" s="12" t="n">
        <v>0</v>
      </c>
      <c r="K676" s="11">
        <f>H676*I676*(1-J676)</f>
        <v/>
      </c>
      <c r="L676" s="11" t="n">
        <v>79</v>
      </c>
      <c r="M676" s="11">
        <f>K676-(H676*L676)</f>
        <v/>
      </c>
      <c r="N676" s="11">
        <f>H676*11</f>
        <v/>
      </c>
    </row>
    <row r="677">
      <c r="A677" t="inlineStr">
        <is>
          <t>LL-00676</t>
        </is>
      </c>
      <c r="B677" s="10" t="n">
        <v>46262</v>
      </c>
      <c r="C677" t="inlineStr">
        <is>
          <t>Aug</t>
        </is>
      </c>
      <c r="D677" t="inlineStr">
        <is>
          <t>North</t>
        </is>
      </c>
      <c r="E677" t="inlineStr">
        <is>
          <t>Online</t>
        </is>
      </c>
      <c r="F677" t="inlineStr">
        <is>
          <t>Luna Throw</t>
        </is>
      </c>
      <c r="G677" t="inlineStr">
        <is>
          <t>Living</t>
        </is>
      </c>
      <c r="H677" t="n">
        <v>7</v>
      </c>
      <c r="I677" s="11" t="n">
        <v>69</v>
      </c>
      <c r="J677" s="12" t="n">
        <v>0.05</v>
      </c>
      <c r="K677" s="11">
        <f>H677*I677*(1-J677)</f>
        <v/>
      </c>
      <c r="L677" s="11" t="n">
        <v>31</v>
      </c>
      <c r="M677" s="11">
        <f>K677-(H677*L677)</f>
        <v/>
      </c>
      <c r="N677" s="11">
        <f>H677*11</f>
        <v/>
      </c>
    </row>
    <row r="678">
      <c r="A678" t="inlineStr">
        <is>
          <t>LL-00677</t>
        </is>
      </c>
      <c r="B678" s="10" t="n">
        <v>46162</v>
      </c>
      <c r="C678" t="inlineStr">
        <is>
          <t>May</t>
        </is>
      </c>
      <c r="D678" t="inlineStr">
        <is>
          <t>East</t>
        </is>
      </c>
      <c r="E678" t="inlineStr">
        <is>
          <t>Retail</t>
        </is>
      </c>
      <c r="F678" t="inlineStr">
        <is>
          <t>Aurora Desk Lamp</t>
        </is>
      </c>
      <c r="G678" t="inlineStr">
        <is>
          <t>Lighting</t>
        </is>
      </c>
      <c r="H678" t="n">
        <v>7</v>
      </c>
      <c r="I678" s="11" t="n">
        <v>89</v>
      </c>
      <c r="J678" s="12" t="n">
        <v>0.15</v>
      </c>
      <c r="K678" s="11">
        <f>H678*I678*(1-J678)</f>
        <v/>
      </c>
      <c r="L678" s="11" t="n">
        <v>42</v>
      </c>
      <c r="M678" s="11">
        <f>K678-(H678*L678)</f>
        <v/>
      </c>
      <c r="N678" s="11">
        <f>H678*6</f>
        <v/>
      </c>
    </row>
    <row r="679">
      <c r="A679" t="inlineStr">
        <is>
          <t>LL-00678</t>
        </is>
      </c>
      <c r="B679" s="10" t="n">
        <v>46354</v>
      </c>
      <c r="C679" t="inlineStr">
        <is>
          <t>Nov</t>
        </is>
      </c>
      <c r="D679" t="inlineStr">
        <is>
          <t>North</t>
        </is>
      </c>
      <c r="E679" t="inlineStr">
        <is>
          <t>Online</t>
        </is>
      </c>
      <c r="F679" t="inlineStr">
        <is>
          <t>Arc Side Table</t>
        </is>
      </c>
      <c r="G679" t="inlineStr">
        <is>
          <t>Living</t>
        </is>
      </c>
      <c r="H679" t="n">
        <v>1</v>
      </c>
      <c r="I679" s="11" t="n">
        <v>139</v>
      </c>
      <c r="J679" s="12" t="n">
        <v>0.15</v>
      </c>
      <c r="K679" s="11">
        <f>H679*I679*(1-J679)</f>
        <v/>
      </c>
      <c r="L679" s="11" t="n">
        <v>72</v>
      </c>
      <c r="M679" s="11">
        <f>K679-(H679*L679)</f>
        <v/>
      </c>
      <c r="N679" s="11">
        <f>H679*11</f>
        <v/>
      </c>
    </row>
    <row r="680">
      <c r="A680" t="inlineStr">
        <is>
          <t>LL-00679</t>
        </is>
      </c>
      <c r="B680" s="10" t="n">
        <v>46331</v>
      </c>
      <c r="C680" t="inlineStr">
        <is>
          <t>Nov</t>
        </is>
      </c>
      <c r="D680" t="inlineStr">
        <is>
          <t>East</t>
        </is>
      </c>
      <c r="E680" t="inlineStr">
        <is>
          <t>Marketplace</t>
        </is>
      </c>
      <c r="F680" t="inlineStr">
        <is>
          <t>Arc Side Table</t>
        </is>
      </c>
      <c r="G680" t="inlineStr">
        <is>
          <t>Living</t>
        </is>
      </c>
      <c r="H680" t="n">
        <v>2</v>
      </c>
      <c r="I680" s="11" t="n">
        <v>139</v>
      </c>
      <c r="J680" s="12" t="n">
        <v>0</v>
      </c>
      <c r="K680" s="11">
        <f>H680*I680*(1-J680)</f>
        <v/>
      </c>
      <c r="L680" s="11" t="n">
        <v>72</v>
      </c>
      <c r="M680" s="11">
        <f>K680-(H680*L680)</f>
        <v/>
      </c>
      <c r="N680" s="11">
        <f>H680*15</f>
        <v/>
      </c>
    </row>
    <row r="681">
      <c r="A681" t="inlineStr">
        <is>
          <t>LL-00680</t>
        </is>
      </c>
      <c r="B681" s="10" t="n">
        <v>46178</v>
      </c>
      <c r="C681" t="inlineStr">
        <is>
          <t>Jun</t>
        </is>
      </c>
      <c r="D681" t="inlineStr">
        <is>
          <t>East</t>
        </is>
      </c>
      <c r="E681" t="inlineStr">
        <is>
          <t>Retail</t>
        </is>
      </c>
      <c r="F681" t="inlineStr">
        <is>
          <t>Nest Basket</t>
        </is>
      </c>
      <c r="G681" t="inlineStr">
        <is>
          <t>Living</t>
        </is>
      </c>
      <c r="H681" t="n">
        <v>6</v>
      </c>
      <c r="I681" s="11" t="n">
        <v>55</v>
      </c>
      <c r="J681" s="12" t="n">
        <v>0.1</v>
      </c>
      <c r="K681" s="11">
        <f>H681*I681*(1-J681)</f>
        <v/>
      </c>
      <c r="L681" s="11" t="n">
        <v>24</v>
      </c>
      <c r="M681" s="11">
        <f>K681-(H681*L681)</f>
        <v/>
      </c>
      <c r="N681" s="11">
        <f>H681*6</f>
        <v/>
      </c>
    </row>
    <row r="682">
      <c r="A682" t="inlineStr">
        <is>
          <t>LL-00681</t>
        </is>
      </c>
      <c r="B682" s="10" t="n">
        <v>46228</v>
      </c>
      <c r="C682" t="inlineStr">
        <is>
          <t>Jul</t>
        </is>
      </c>
      <c r="D682" t="inlineStr">
        <is>
          <t>West</t>
        </is>
      </c>
      <c r="E682" t="inlineStr">
        <is>
          <t>Online</t>
        </is>
      </c>
      <c r="F682" t="inlineStr">
        <is>
          <t>Aurora Desk Lamp</t>
        </is>
      </c>
      <c r="G682" t="inlineStr">
        <is>
          <t>Lighting</t>
        </is>
      </c>
      <c r="H682" t="n">
        <v>5</v>
      </c>
      <c r="I682" s="11" t="n">
        <v>89</v>
      </c>
      <c r="J682" s="12" t="n">
        <v>0.2</v>
      </c>
      <c r="K682" s="11">
        <f>H682*I682*(1-J682)</f>
        <v/>
      </c>
      <c r="L682" s="11" t="n">
        <v>42</v>
      </c>
      <c r="M682" s="11">
        <f>K682-(H682*L682)</f>
        <v/>
      </c>
      <c r="N682" s="11">
        <f>H682*11</f>
        <v/>
      </c>
    </row>
    <row r="683">
      <c r="A683" t="inlineStr">
        <is>
          <t>LL-00682</t>
        </is>
      </c>
      <c r="B683" s="10" t="n">
        <v>46381</v>
      </c>
      <c r="C683" t="inlineStr">
        <is>
          <t>Dec</t>
        </is>
      </c>
      <c r="D683" t="inlineStr">
        <is>
          <t>South</t>
        </is>
      </c>
      <c r="E683" t="inlineStr">
        <is>
          <t>Retail</t>
        </is>
      </c>
      <c r="F683" t="inlineStr">
        <is>
          <t>Nest Basket</t>
        </is>
      </c>
      <c r="G683" t="inlineStr">
        <is>
          <t>Living</t>
        </is>
      </c>
      <c r="H683" t="n">
        <v>2</v>
      </c>
      <c r="I683" s="11" t="n">
        <v>55</v>
      </c>
      <c r="J683" s="12" t="n">
        <v>0.15</v>
      </c>
      <c r="K683" s="11">
        <f>H683*I683*(1-J683)</f>
        <v/>
      </c>
      <c r="L683" s="11" t="n">
        <v>24</v>
      </c>
      <c r="M683" s="11">
        <f>K683-(H683*L683)</f>
        <v/>
      </c>
      <c r="N683" s="11">
        <f>H683*6</f>
        <v/>
      </c>
    </row>
    <row r="684">
      <c r="A684" t="inlineStr">
        <is>
          <t>LL-00683</t>
        </is>
      </c>
      <c r="B684" s="10" t="n">
        <v>46119</v>
      </c>
      <c r="C684" t="inlineStr">
        <is>
          <t>Apr</t>
        </is>
      </c>
      <c r="D684" t="inlineStr">
        <is>
          <t>South</t>
        </is>
      </c>
      <c r="E684" t="inlineStr">
        <is>
          <t>Online</t>
        </is>
      </c>
      <c r="F684" t="inlineStr">
        <is>
          <t>Arc Side Table</t>
        </is>
      </c>
      <c r="G684" t="inlineStr">
        <is>
          <t>Living</t>
        </is>
      </c>
      <c r="H684" t="n">
        <v>2</v>
      </c>
      <c r="I684" s="11" t="n">
        <v>139</v>
      </c>
      <c r="J684" s="12" t="n">
        <v>0.1</v>
      </c>
      <c r="K684" s="11">
        <f>H684*I684*(1-J684)</f>
        <v/>
      </c>
      <c r="L684" s="11" t="n">
        <v>72</v>
      </c>
      <c r="M684" s="11">
        <f>K684-(H684*L684)</f>
        <v/>
      </c>
      <c r="N684" s="11">
        <f>H684*11</f>
        <v/>
      </c>
    </row>
    <row r="685">
      <c r="A685" t="inlineStr">
        <is>
          <t>LL-00684</t>
        </is>
      </c>
      <c r="B685" s="10" t="n">
        <v>46216</v>
      </c>
      <c r="C685" t="inlineStr">
        <is>
          <t>Jul</t>
        </is>
      </c>
      <c r="D685" t="inlineStr">
        <is>
          <t>North</t>
        </is>
      </c>
      <c r="E685" t="inlineStr">
        <is>
          <t>Retail</t>
        </is>
      </c>
      <c r="F685" t="inlineStr">
        <is>
          <t>Luna Throw</t>
        </is>
      </c>
      <c r="G685" t="inlineStr">
        <is>
          <t>Living</t>
        </is>
      </c>
      <c r="H685" t="n">
        <v>6</v>
      </c>
      <c r="I685" s="11" t="n">
        <v>69</v>
      </c>
      <c r="J685" s="12" t="n">
        <v>0.15</v>
      </c>
      <c r="K685" s="11">
        <f>H685*I685*(1-J685)</f>
        <v/>
      </c>
      <c r="L685" s="11" t="n">
        <v>31</v>
      </c>
      <c r="M685" s="11">
        <f>K685-(H685*L685)</f>
        <v/>
      </c>
      <c r="N685" s="11">
        <f>H685*6</f>
        <v/>
      </c>
    </row>
    <row r="686">
      <c r="A686" t="inlineStr">
        <is>
          <t>LL-00685</t>
        </is>
      </c>
      <c r="B686" s="10" t="n">
        <v>46314</v>
      </c>
      <c r="C686" t="inlineStr">
        <is>
          <t>Oct</t>
        </is>
      </c>
      <c r="D686" t="inlineStr">
        <is>
          <t>North</t>
        </is>
      </c>
      <c r="E686" t="inlineStr">
        <is>
          <t>Retail</t>
        </is>
      </c>
      <c r="F686" t="inlineStr">
        <is>
          <t>Nest Basket</t>
        </is>
      </c>
      <c r="G686" t="inlineStr">
        <is>
          <t>Living</t>
        </is>
      </c>
      <c r="H686" t="n">
        <v>7</v>
      </c>
      <c r="I686" s="11" t="n">
        <v>55</v>
      </c>
      <c r="J686" s="12" t="n">
        <v>0.1</v>
      </c>
      <c r="K686" s="11">
        <f>H686*I686*(1-J686)</f>
        <v/>
      </c>
      <c r="L686" s="11" t="n">
        <v>24</v>
      </c>
      <c r="M686" s="11">
        <f>K686-(H686*L686)</f>
        <v/>
      </c>
      <c r="N686" s="11">
        <f>H686*6</f>
        <v/>
      </c>
    </row>
    <row r="687">
      <c r="A687" t="inlineStr">
        <is>
          <t>LL-00686</t>
        </is>
      </c>
      <c r="B687" s="10" t="n">
        <v>46192</v>
      </c>
      <c r="C687" t="inlineStr">
        <is>
          <t>Jun</t>
        </is>
      </c>
      <c r="D687" t="inlineStr">
        <is>
          <t>West</t>
        </is>
      </c>
      <c r="E687" t="inlineStr">
        <is>
          <t>Online</t>
        </is>
      </c>
      <c r="F687" t="inlineStr">
        <is>
          <t>Aurora Desk Lamp</t>
        </is>
      </c>
      <c r="G687" t="inlineStr">
        <is>
          <t>Lighting</t>
        </is>
      </c>
      <c r="H687" t="n">
        <v>2</v>
      </c>
      <c r="I687" s="11" t="n">
        <v>89</v>
      </c>
      <c r="J687" s="12" t="n">
        <v>0.15</v>
      </c>
      <c r="K687" s="11">
        <f>H687*I687*(1-J687)</f>
        <v/>
      </c>
      <c r="L687" s="11" t="n">
        <v>42</v>
      </c>
      <c r="M687" s="11">
        <f>K687-(H687*L687)</f>
        <v/>
      </c>
      <c r="N687" s="11">
        <f>H687*11</f>
        <v/>
      </c>
    </row>
    <row r="688">
      <c r="A688" t="inlineStr">
        <is>
          <t>LL-00687</t>
        </is>
      </c>
      <c r="B688" s="10" t="n">
        <v>46281</v>
      </c>
      <c r="C688" t="inlineStr">
        <is>
          <t>Sep</t>
        </is>
      </c>
      <c r="D688" t="inlineStr">
        <is>
          <t>South</t>
        </is>
      </c>
      <c r="E688" t="inlineStr">
        <is>
          <t>Retail</t>
        </is>
      </c>
      <c r="F688" t="inlineStr">
        <is>
          <t>Focus Monitor Stand</t>
        </is>
      </c>
      <c r="G688" t="inlineStr">
        <is>
          <t>Workspace</t>
        </is>
      </c>
      <c r="H688" t="n">
        <v>6</v>
      </c>
      <c r="I688" s="11" t="n">
        <v>79</v>
      </c>
      <c r="J688" s="12" t="n">
        <v>0.15</v>
      </c>
      <c r="K688" s="11">
        <f>H688*I688*(1-J688)</f>
        <v/>
      </c>
      <c r="L688" s="11" t="n">
        <v>36</v>
      </c>
      <c r="M688" s="11">
        <f>K688-(H688*L688)</f>
        <v/>
      </c>
      <c r="N688" s="11">
        <f>H688*6</f>
        <v/>
      </c>
    </row>
    <row r="689">
      <c r="A689" t="inlineStr">
        <is>
          <t>LL-00688</t>
        </is>
      </c>
      <c r="B689" s="10" t="n">
        <v>46237</v>
      </c>
      <c r="C689" t="inlineStr">
        <is>
          <t>Aug</t>
        </is>
      </c>
      <c r="D689" t="inlineStr">
        <is>
          <t>South</t>
        </is>
      </c>
      <c r="E689" t="inlineStr">
        <is>
          <t>Marketplace</t>
        </is>
      </c>
      <c r="F689" t="inlineStr">
        <is>
          <t>Aurora Desk Lamp</t>
        </is>
      </c>
      <c r="G689" t="inlineStr">
        <is>
          <t>Lighting</t>
        </is>
      </c>
      <c r="H689" t="n">
        <v>6</v>
      </c>
      <c r="I689" s="11" t="n">
        <v>89</v>
      </c>
      <c r="J689" s="12" t="n">
        <v>0.05</v>
      </c>
      <c r="K689" s="11">
        <f>H689*I689*(1-J689)</f>
        <v/>
      </c>
      <c r="L689" s="11" t="n">
        <v>42</v>
      </c>
      <c r="M689" s="11">
        <f>K689-(H689*L689)</f>
        <v/>
      </c>
      <c r="N689" s="11">
        <f>H689*15</f>
        <v/>
      </c>
    </row>
    <row r="690">
      <c r="A690" t="inlineStr">
        <is>
          <t>LL-00689</t>
        </is>
      </c>
      <c r="B690" s="10" t="n">
        <v>46098</v>
      </c>
      <c r="C690" t="inlineStr">
        <is>
          <t>Mar</t>
        </is>
      </c>
      <c r="D690" t="inlineStr">
        <is>
          <t>West</t>
        </is>
      </c>
      <c r="E690" t="inlineStr">
        <is>
          <t>Retail</t>
        </is>
      </c>
      <c r="F690" t="inlineStr">
        <is>
          <t>Focus Monitor Stand</t>
        </is>
      </c>
      <c r="G690" t="inlineStr">
        <is>
          <t>Workspace</t>
        </is>
      </c>
      <c r="H690" t="n">
        <v>8</v>
      </c>
      <c r="I690" s="11" t="n">
        <v>79</v>
      </c>
      <c r="J690" s="12" t="n">
        <v>0.15</v>
      </c>
      <c r="K690" s="11">
        <f>H690*I690*(1-J690)</f>
        <v/>
      </c>
      <c r="L690" s="11" t="n">
        <v>36</v>
      </c>
      <c r="M690" s="11">
        <f>K690-(H690*L690)</f>
        <v/>
      </c>
      <c r="N690" s="11">
        <f>H690*6</f>
        <v/>
      </c>
    </row>
    <row r="691">
      <c r="A691" t="inlineStr">
        <is>
          <t>LL-00690</t>
        </is>
      </c>
      <c r="B691" s="10" t="n">
        <v>46056</v>
      </c>
      <c r="C691" t="inlineStr">
        <is>
          <t>Feb</t>
        </is>
      </c>
      <c r="D691" t="inlineStr">
        <is>
          <t>East</t>
        </is>
      </c>
      <c r="E691" t="inlineStr">
        <is>
          <t>Retail</t>
        </is>
      </c>
      <c r="F691" t="inlineStr">
        <is>
          <t>Focus Monitor Stand</t>
        </is>
      </c>
      <c r="G691" t="inlineStr">
        <is>
          <t>Workspace</t>
        </is>
      </c>
      <c r="H691" t="n">
        <v>7</v>
      </c>
      <c r="I691" s="11" t="n">
        <v>79</v>
      </c>
      <c r="J691" s="12" t="n">
        <v>0.1</v>
      </c>
      <c r="K691" s="11">
        <f>H691*I691*(1-J691)</f>
        <v/>
      </c>
      <c r="L691" s="11" t="n">
        <v>36</v>
      </c>
      <c r="M691" s="11">
        <f>K691-(H691*L691)</f>
        <v/>
      </c>
      <c r="N691" s="11">
        <f>H691*6</f>
        <v/>
      </c>
    </row>
    <row r="692">
      <c r="A692" t="inlineStr">
        <is>
          <t>LL-00691</t>
        </is>
      </c>
      <c r="B692" s="10" t="n">
        <v>46323</v>
      </c>
      <c r="C692" t="inlineStr">
        <is>
          <t>Oct</t>
        </is>
      </c>
      <c r="D692" t="inlineStr">
        <is>
          <t>North</t>
        </is>
      </c>
      <c r="E692" t="inlineStr">
        <is>
          <t>Marketplace</t>
        </is>
      </c>
      <c r="F692" t="inlineStr">
        <is>
          <t>Aurora Desk Lamp</t>
        </is>
      </c>
      <c r="G692" t="inlineStr">
        <is>
          <t>Lighting</t>
        </is>
      </c>
      <c r="H692" t="n">
        <v>8</v>
      </c>
      <c r="I692" s="11" t="n">
        <v>89</v>
      </c>
      <c r="J692" s="12" t="n">
        <v>0.15</v>
      </c>
      <c r="K692" s="11">
        <f>H692*I692*(1-J692)</f>
        <v/>
      </c>
      <c r="L692" s="11" t="n">
        <v>42</v>
      </c>
      <c r="M692" s="11">
        <f>K692-(H692*L692)</f>
        <v/>
      </c>
      <c r="N692" s="11">
        <f>H692*15</f>
        <v/>
      </c>
    </row>
    <row r="693">
      <c r="A693" t="inlineStr">
        <is>
          <t>LL-00692</t>
        </is>
      </c>
      <c r="B693" s="10" t="n">
        <v>46352</v>
      </c>
      <c r="C693" t="inlineStr">
        <is>
          <t>Nov</t>
        </is>
      </c>
      <c r="D693" t="inlineStr">
        <is>
          <t>East</t>
        </is>
      </c>
      <c r="E693" t="inlineStr">
        <is>
          <t>Online</t>
        </is>
      </c>
      <c r="F693" t="inlineStr">
        <is>
          <t>Focus Monitor Stand</t>
        </is>
      </c>
      <c r="G693" t="inlineStr">
        <is>
          <t>Workspace</t>
        </is>
      </c>
      <c r="H693" t="n">
        <v>3</v>
      </c>
      <c r="I693" s="11" t="n">
        <v>79</v>
      </c>
      <c r="J693" s="12" t="n">
        <v>0.15</v>
      </c>
      <c r="K693" s="11">
        <f>H693*I693*(1-J693)</f>
        <v/>
      </c>
      <c r="L693" s="11" t="n">
        <v>36</v>
      </c>
      <c r="M693" s="11">
        <f>K693-(H693*L693)</f>
        <v/>
      </c>
      <c r="N693" s="11">
        <f>H693*11</f>
        <v/>
      </c>
    </row>
    <row r="694">
      <c r="A694" t="inlineStr">
        <is>
          <t>LL-00693</t>
        </is>
      </c>
      <c r="B694" s="10" t="n">
        <v>46172</v>
      </c>
      <c r="C694" t="inlineStr">
        <is>
          <t>May</t>
        </is>
      </c>
      <c r="D694" t="inlineStr">
        <is>
          <t>North</t>
        </is>
      </c>
      <c r="E694" t="inlineStr">
        <is>
          <t>Retail</t>
        </is>
      </c>
      <c r="F694" t="inlineStr">
        <is>
          <t>Nest Basket</t>
        </is>
      </c>
      <c r="G694" t="inlineStr">
        <is>
          <t>Living</t>
        </is>
      </c>
      <c r="H694" t="n">
        <v>4</v>
      </c>
      <c r="I694" s="11" t="n">
        <v>55</v>
      </c>
      <c r="J694" s="12" t="n">
        <v>0.05</v>
      </c>
      <c r="K694" s="11">
        <f>H694*I694*(1-J694)</f>
        <v/>
      </c>
      <c r="L694" s="11" t="n">
        <v>24</v>
      </c>
      <c r="M694" s="11">
        <f>K694-(H694*L694)</f>
        <v/>
      </c>
      <c r="N694" s="11">
        <f>H694*6</f>
        <v/>
      </c>
    </row>
    <row r="695">
      <c r="A695" t="inlineStr">
        <is>
          <t>LL-00694</t>
        </is>
      </c>
      <c r="B695" s="10" t="n">
        <v>46355</v>
      </c>
      <c r="C695" t="inlineStr">
        <is>
          <t>Nov</t>
        </is>
      </c>
      <c r="D695" t="inlineStr">
        <is>
          <t>South</t>
        </is>
      </c>
      <c r="E695" t="inlineStr">
        <is>
          <t>Retail</t>
        </is>
      </c>
      <c r="F695" t="inlineStr">
        <is>
          <t>Arc Side Table</t>
        </is>
      </c>
      <c r="G695" t="inlineStr">
        <is>
          <t>Living</t>
        </is>
      </c>
      <c r="H695" t="n">
        <v>1</v>
      </c>
      <c r="I695" s="11" t="n">
        <v>139</v>
      </c>
      <c r="J695" s="12" t="n">
        <v>0.1</v>
      </c>
      <c r="K695" s="11">
        <f>H695*I695*(1-J695)</f>
        <v/>
      </c>
      <c r="L695" s="11" t="n">
        <v>72</v>
      </c>
      <c r="M695" s="11">
        <f>K695-(H695*L695)</f>
        <v/>
      </c>
      <c r="N695" s="11">
        <f>H695*6</f>
        <v/>
      </c>
    </row>
    <row r="696">
      <c r="A696" t="inlineStr">
        <is>
          <t>LL-00695</t>
        </is>
      </c>
      <c r="B696" s="10" t="n">
        <v>46261</v>
      </c>
      <c r="C696" t="inlineStr">
        <is>
          <t>Aug</t>
        </is>
      </c>
      <c r="D696" t="inlineStr">
        <is>
          <t>South</t>
        </is>
      </c>
      <c r="E696" t="inlineStr">
        <is>
          <t>Retail</t>
        </is>
      </c>
      <c r="F696" t="inlineStr">
        <is>
          <t>Focus Monitor Stand</t>
        </is>
      </c>
      <c r="G696" t="inlineStr">
        <is>
          <t>Workspace</t>
        </is>
      </c>
      <c r="H696" t="n">
        <v>7</v>
      </c>
      <c r="I696" s="11" t="n">
        <v>79</v>
      </c>
      <c r="J696" s="12" t="n">
        <v>0</v>
      </c>
      <c r="K696" s="11">
        <f>H696*I696*(1-J696)</f>
        <v/>
      </c>
      <c r="L696" s="11" t="n">
        <v>36</v>
      </c>
      <c r="M696" s="11">
        <f>K696-(H696*L696)</f>
        <v/>
      </c>
      <c r="N696" s="11">
        <f>H696*6</f>
        <v/>
      </c>
    </row>
    <row r="697">
      <c r="A697" t="inlineStr">
        <is>
          <t>LL-00696</t>
        </is>
      </c>
      <c r="B697" s="10" t="n">
        <v>46317</v>
      </c>
      <c r="C697" t="inlineStr">
        <is>
          <t>Oct</t>
        </is>
      </c>
      <c r="D697" t="inlineStr">
        <is>
          <t>East</t>
        </is>
      </c>
      <c r="E697" t="inlineStr">
        <is>
          <t>Retail</t>
        </is>
      </c>
      <c r="F697" t="inlineStr">
        <is>
          <t>Focus Monitor Stand</t>
        </is>
      </c>
      <c r="G697" t="inlineStr">
        <is>
          <t>Workspace</t>
        </is>
      </c>
      <c r="H697" t="n">
        <v>1</v>
      </c>
      <c r="I697" s="11" t="n">
        <v>79</v>
      </c>
      <c r="J697" s="12" t="n">
        <v>0</v>
      </c>
      <c r="K697" s="11">
        <f>H697*I697*(1-J697)</f>
        <v/>
      </c>
      <c r="L697" s="11" t="n">
        <v>36</v>
      </c>
      <c r="M697" s="11">
        <f>K697-(H697*L697)</f>
        <v/>
      </c>
      <c r="N697" s="11">
        <f>H697*6</f>
        <v/>
      </c>
    </row>
    <row r="698">
      <c r="A698" t="inlineStr">
        <is>
          <t>LL-00697</t>
        </is>
      </c>
      <c r="B698" s="10" t="n">
        <v>46300</v>
      </c>
      <c r="C698" t="inlineStr">
        <is>
          <t>Oct</t>
        </is>
      </c>
      <c r="D698" t="inlineStr">
        <is>
          <t>North</t>
        </is>
      </c>
      <c r="E698" t="inlineStr">
        <is>
          <t>Retail</t>
        </is>
      </c>
      <c r="F698" t="inlineStr">
        <is>
          <t>Arc Side Table</t>
        </is>
      </c>
      <c r="G698" t="inlineStr">
        <is>
          <t>Living</t>
        </is>
      </c>
      <c r="H698" t="n">
        <v>5</v>
      </c>
      <c r="I698" s="11" t="n">
        <v>139</v>
      </c>
      <c r="J698" s="12" t="n">
        <v>0</v>
      </c>
      <c r="K698" s="11">
        <f>H698*I698*(1-J698)</f>
        <v/>
      </c>
      <c r="L698" s="11" t="n">
        <v>72</v>
      </c>
      <c r="M698" s="11">
        <f>K698-(H698*L698)</f>
        <v/>
      </c>
      <c r="N698" s="11">
        <f>H698*6</f>
        <v/>
      </c>
    </row>
    <row r="699">
      <c r="A699" t="inlineStr">
        <is>
          <t>LL-00698</t>
        </is>
      </c>
      <c r="B699" s="10" t="n">
        <v>46253</v>
      </c>
      <c r="C699" t="inlineStr">
        <is>
          <t>Aug</t>
        </is>
      </c>
      <c r="D699" t="inlineStr">
        <is>
          <t>East</t>
        </is>
      </c>
      <c r="E699" t="inlineStr">
        <is>
          <t>Retail</t>
        </is>
      </c>
      <c r="F699" t="inlineStr">
        <is>
          <t>Arc Side Table</t>
        </is>
      </c>
      <c r="G699" t="inlineStr">
        <is>
          <t>Living</t>
        </is>
      </c>
      <c r="H699" t="n">
        <v>7</v>
      </c>
      <c r="I699" s="11" t="n">
        <v>139</v>
      </c>
      <c r="J699" s="12" t="n">
        <v>0.15</v>
      </c>
      <c r="K699" s="11">
        <f>H699*I699*(1-J699)</f>
        <v/>
      </c>
      <c r="L699" s="11" t="n">
        <v>72</v>
      </c>
      <c r="M699" s="11">
        <f>K699-(H699*L699)</f>
        <v/>
      </c>
      <c r="N699" s="11">
        <f>H699*6</f>
        <v/>
      </c>
    </row>
    <row r="700">
      <c r="A700" t="inlineStr">
        <is>
          <t>LL-00699</t>
        </is>
      </c>
      <c r="B700" s="10" t="n">
        <v>46386</v>
      </c>
      <c r="C700" t="inlineStr">
        <is>
          <t>Dec</t>
        </is>
      </c>
      <c r="D700" t="inlineStr">
        <is>
          <t>West</t>
        </is>
      </c>
      <c r="E700" t="inlineStr">
        <is>
          <t>Retail</t>
        </is>
      </c>
      <c r="F700" t="inlineStr">
        <is>
          <t>Aurora Desk Lamp</t>
        </is>
      </c>
      <c r="G700" t="inlineStr">
        <is>
          <t>Lighting</t>
        </is>
      </c>
      <c r="H700" t="n">
        <v>8</v>
      </c>
      <c r="I700" s="11" t="n">
        <v>89</v>
      </c>
      <c r="J700" s="12" t="n">
        <v>0.05</v>
      </c>
      <c r="K700" s="11">
        <f>H700*I700*(1-J700)</f>
        <v/>
      </c>
      <c r="L700" s="11" t="n">
        <v>42</v>
      </c>
      <c r="M700" s="11">
        <f>K700-(H700*L700)</f>
        <v/>
      </c>
      <c r="N700" s="11">
        <f>H700*6</f>
        <v/>
      </c>
    </row>
    <row r="701">
      <c r="A701" t="inlineStr">
        <is>
          <t>LL-00700</t>
        </is>
      </c>
      <c r="B701" s="10" t="n">
        <v>46352</v>
      </c>
      <c r="C701" t="inlineStr">
        <is>
          <t>Nov</t>
        </is>
      </c>
      <c r="D701" t="inlineStr">
        <is>
          <t>North</t>
        </is>
      </c>
      <c r="E701" t="inlineStr">
        <is>
          <t>Online</t>
        </is>
      </c>
      <c r="F701" t="inlineStr">
        <is>
          <t>Aurora Desk Lamp</t>
        </is>
      </c>
      <c r="G701" t="inlineStr">
        <is>
          <t>Lighting</t>
        </is>
      </c>
      <c r="H701" t="n">
        <v>7</v>
      </c>
      <c r="I701" s="11" t="n">
        <v>89</v>
      </c>
      <c r="J701" s="12" t="n">
        <v>0.05</v>
      </c>
      <c r="K701" s="11">
        <f>H701*I701*(1-J701)</f>
        <v/>
      </c>
      <c r="L701" s="11" t="n">
        <v>42</v>
      </c>
      <c r="M701" s="11">
        <f>K701-(H701*L701)</f>
        <v/>
      </c>
      <c r="N701" s="11">
        <f>H701*11</f>
        <v/>
      </c>
    </row>
    <row r="702">
      <c r="A702" t="inlineStr">
        <is>
          <t>LL-00701</t>
        </is>
      </c>
      <c r="B702" s="10" t="n">
        <v>46203</v>
      </c>
      <c r="C702" t="inlineStr">
        <is>
          <t>Jun</t>
        </is>
      </c>
      <c r="D702" t="inlineStr">
        <is>
          <t>North</t>
        </is>
      </c>
      <c r="E702" t="inlineStr">
        <is>
          <t>Retail</t>
        </is>
      </c>
      <c r="F702" t="inlineStr">
        <is>
          <t>Focus Monitor Stand</t>
        </is>
      </c>
      <c r="G702" t="inlineStr">
        <is>
          <t>Workspace</t>
        </is>
      </c>
      <c r="H702" t="n">
        <v>2</v>
      </c>
      <c r="I702" s="11" t="n">
        <v>79</v>
      </c>
      <c r="J702" s="12" t="n">
        <v>0.05</v>
      </c>
      <c r="K702" s="11">
        <f>H702*I702*(1-J702)</f>
        <v/>
      </c>
      <c r="L702" s="11" t="n">
        <v>36</v>
      </c>
      <c r="M702" s="11">
        <f>K702-(H702*L702)</f>
        <v/>
      </c>
      <c r="N702" s="11">
        <f>H702*6</f>
        <v/>
      </c>
    </row>
    <row r="703">
      <c r="A703" t="inlineStr">
        <is>
          <t>LL-00702</t>
        </is>
      </c>
      <c r="B703" s="10" t="n">
        <v>46029</v>
      </c>
      <c r="C703" t="inlineStr">
        <is>
          <t>Jan</t>
        </is>
      </c>
      <c r="D703" t="inlineStr">
        <is>
          <t>West</t>
        </is>
      </c>
      <c r="E703" t="inlineStr">
        <is>
          <t>Retail</t>
        </is>
      </c>
      <c r="F703" t="inlineStr">
        <is>
          <t>Focus Monitor Stand</t>
        </is>
      </c>
      <c r="G703" t="inlineStr">
        <is>
          <t>Workspace</t>
        </is>
      </c>
      <c r="H703" t="n">
        <v>1</v>
      </c>
      <c r="I703" s="11" t="n">
        <v>79</v>
      </c>
      <c r="J703" s="12" t="n">
        <v>0.15</v>
      </c>
      <c r="K703" s="11">
        <f>H703*I703*(1-J703)</f>
        <v/>
      </c>
      <c r="L703" s="11" t="n">
        <v>36</v>
      </c>
      <c r="M703" s="11">
        <f>K703-(H703*L703)</f>
        <v/>
      </c>
      <c r="N703" s="11">
        <f>H703*6</f>
        <v/>
      </c>
    </row>
    <row r="704">
      <c r="A704" t="inlineStr">
        <is>
          <t>LL-00703</t>
        </is>
      </c>
      <c r="B704" s="10" t="n">
        <v>46181</v>
      </c>
      <c r="C704" t="inlineStr">
        <is>
          <t>Jun</t>
        </is>
      </c>
      <c r="D704" t="inlineStr">
        <is>
          <t>East</t>
        </is>
      </c>
      <c r="E704" t="inlineStr">
        <is>
          <t>Online</t>
        </is>
      </c>
      <c r="F704" t="inlineStr">
        <is>
          <t>Luna Throw</t>
        </is>
      </c>
      <c r="G704" t="inlineStr">
        <is>
          <t>Living</t>
        </is>
      </c>
      <c r="H704" t="n">
        <v>1</v>
      </c>
      <c r="I704" s="11" t="n">
        <v>69</v>
      </c>
      <c r="J704" s="12" t="n">
        <v>0.15</v>
      </c>
      <c r="K704" s="11">
        <f>H704*I704*(1-J704)</f>
        <v/>
      </c>
      <c r="L704" s="11" t="n">
        <v>31</v>
      </c>
      <c r="M704" s="11">
        <f>K704-(H704*L704)</f>
        <v/>
      </c>
      <c r="N704" s="11">
        <f>H704*11</f>
        <v/>
      </c>
    </row>
    <row r="705">
      <c r="A705" t="inlineStr">
        <is>
          <t>LL-00704</t>
        </is>
      </c>
      <c r="B705" s="10" t="n">
        <v>46356</v>
      </c>
      <c r="C705" t="inlineStr">
        <is>
          <t>Nov</t>
        </is>
      </c>
      <c r="D705" t="inlineStr">
        <is>
          <t>East</t>
        </is>
      </c>
      <c r="E705" t="inlineStr">
        <is>
          <t>Retail</t>
        </is>
      </c>
      <c r="F705" t="inlineStr">
        <is>
          <t>Arc Side Table</t>
        </is>
      </c>
      <c r="G705" t="inlineStr">
        <is>
          <t>Living</t>
        </is>
      </c>
      <c r="H705" t="n">
        <v>2</v>
      </c>
      <c r="I705" s="11" t="n">
        <v>139</v>
      </c>
      <c r="J705" s="12" t="n">
        <v>0.1</v>
      </c>
      <c r="K705" s="11">
        <f>H705*I705*(1-J705)</f>
        <v/>
      </c>
      <c r="L705" s="11" t="n">
        <v>72</v>
      </c>
      <c r="M705" s="11">
        <f>K705-(H705*L705)</f>
        <v/>
      </c>
      <c r="N705" s="11">
        <f>H705*6</f>
        <v/>
      </c>
    </row>
    <row r="706">
      <c r="A706" t="inlineStr">
        <is>
          <t>LL-00705</t>
        </is>
      </c>
      <c r="B706" s="10" t="n">
        <v>46166</v>
      </c>
      <c r="C706" t="inlineStr">
        <is>
          <t>May</t>
        </is>
      </c>
      <c r="D706" t="inlineStr">
        <is>
          <t>West</t>
        </is>
      </c>
      <c r="E706" t="inlineStr">
        <is>
          <t>Online</t>
        </is>
      </c>
      <c r="F706" t="inlineStr">
        <is>
          <t>Nest Basket</t>
        </is>
      </c>
      <c r="G706" t="inlineStr">
        <is>
          <t>Living</t>
        </is>
      </c>
      <c r="H706" t="n">
        <v>1</v>
      </c>
      <c r="I706" s="11" t="n">
        <v>55</v>
      </c>
      <c r="J706" s="12" t="n">
        <v>0.1</v>
      </c>
      <c r="K706" s="11">
        <f>H706*I706*(1-J706)</f>
        <v/>
      </c>
      <c r="L706" s="11" t="n">
        <v>24</v>
      </c>
      <c r="M706" s="11">
        <f>K706-(H706*L706)</f>
        <v/>
      </c>
      <c r="N706" s="11">
        <f>H706*11</f>
        <v/>
      </c>
    </row>
    <row r="707">
      <c r="A707" t="inlineStr">
        <is>
          <t>LL-00706</t>
        </is>
      </c>
      <c r="B707" s="10" t="n">
        <v>46136</v>
      </c>
      <c r="C707" t="inlineStr">
        <is>
          <t>Apr</t>
        </is>
      </c>
      <c r="D707" t="inlineStr">
        <is>
          <t>South</t>
        </is>
      </c>
      <c r="E707" t="inlineStr">
        <is>
          <t>Online</t>
        </is>
      </c>
      <c r="F707" t="inlineStr">
        <is>
          <t>Aurora Desk Lamp</t>
        </is>
      </c>
      <c r="G707" t="inlineStr">
        <is>
          <t>Lighting</t>
        </is>
      </c>
      <c r="H707" t="n">
        <v>8</v>
      </c>
      <c r="I707" s="11" t="n">
        <v>89</v>
      </c>
      <c r="J707" s="12" t="n">
        <v>0.1</v>
      </c>
      <c r="K707" s="11">
        <f>H707*I707*(1-J707)</f>
        <v/>
      </c>
      <c r="L707" s="11" t="n">
        <v>42</v>
      </c>
      <c r="M707" s="11">
        <f>K707-(H707*L707)</f>
        <v/>
      </c>
      <c r="N707" s="11">
        <f>H707*11</f>
        <v/>
      </c>
    </row>
    <row r="708">
      <c r="A708" t="inlineStr">
        <is>
          <t>LL-00707</t>
        </is>
      </c>
      <c r="B708" s="10" t="n">
        <v>46076</v>
      </c>
      <c r="C708" t="inlineStr">
        <is>
          <t>Feb</t>
        </is>
      </c>
      <c r="D708" t="inlineStr">
        <is>
          <t>West</t>
        </is>
      </c>
      <c r="E708" t="inlineStr">
        <is>
          <t>Marketplace</t>
        </is>
      </c>
      <c r="F708" t="inlineStr">
        <is>
          <t>Focus Monitor Stand</t>
        </is>
      </c>
      <c r="G708" t="inlineStr">
        <is>
          <t>Workspace</t>
        </is>
      </c>
      <c r="H708" t="n">
        <v>5</v>
      </c>
      <c r="I708" s="11" t="n">
        <v>79</v>
      </c>
      <c r="J708" s="12" t="n">
        <v>0.1</v>
      </c>
      <c r="K708" s="11">
        <f>H708*I708*(1-J708)</f>
        <v/>
      </c>
      <c r="L708" s="11" t="n">
        <v>36</v>
      </c>
      <c r="M708" s="11">
        <f>K708-(H708*L708)</f>
        <v/>
      </c>
      <c r="N708" s="11">
        <f>H708*15</f>
        <v/>
      </c>
    </row>
    <row r="709">
      <c r="A709" t="inlineStr">
        <is>
          <t>LL-00708</t>
        </is>
      </c>
      <c r="B709" s="10" t="n">
        <v>46312</v>
      </c>
      <c r="C709" t="inlineStr">
        <is>
          <t>Oct</t>
        </is>
      </c>
      <c r="D709" t="inlineStr">
        <is>
          <t>East</t>
        </is>
      </c>
      <c r="E709" t="inlineStr">
        <is>
          <t>Online</t>
        </is>
      </c>
      <c r="F709" t="inlineStr">
        <is>
          <t>Nest Basket</t>
        </is>
      </c>
      <c r="G709" t="inlineStr">
        <is>
          <t>Living</t>
        </is>
      </c>
      <c r="H709" t="n">
        <v>3</v>
      </c>
      <c r="I709" s="11" t="n">
        <v>55</v>
      </c>
      <c r="J709" s="12" t="n">
        <v>0.1</v>
      </c>
      <c r="K709" s="11">
        <f>H709*I709*(1-J709)</f>
        <v/>
      </c>
      <c r="L709" s="11" t="n">
        <v>24</v>
      </c>
      <c r="M709" s="11">
        <f>K709-(H709*L709)</f>
        <v/>
      </c>
      <c r="N709" s="11">
        <f>H709*11</f>
        <v/>
      </c>
    </row>
    <row r="710">
      <c r="A710" t="inlineStr">
        <is>
          <t>LL-00709</t>
        </is>
      </c>
      <c r="B710" s="10" t="n">
        <v>46025</v>
      </c>
      <c r="C710" t="inlineStr">
        <is>
          <t>Jan</t>
        </is>
      </c>
      <c r="D710" t="inlineStr">
        <is>
          <t>East</t>
        </is>
      </c>
      <c r="E710" t="inlineStr">
        <is>
          <t>Retail</t>
        </is>
      </c>
      <c r="F710" t="inlineStr">
        <is>
          <t>Aurora Desk Lamp</t>
        </is>
      </c>
      <c r="G710" t="inlineStr">
        <is>
          <t>Lighting</t>
        </is>
      </c>
      <c r="H710" t="n">
        <v>6</v>
      </c>
      <c r="I710" s="11" t="n">
        <v>89</v>
      </c>
      <c r="J710" s="12" t="n">
        <v>0.1</v>
      </c>
      <c r="K710" s="11">
        <f>H710*I710*(1-J710)</f>
        <v/>
      </c>
      <c r="L710" s="11" t="n">
        <v>42</v>
      </c>
      <c r="M710" s="11">
        <f>K710-(H710*L710)</f>
        <v/>
      </c>
      <c r="N710" s="11">
        <f>H710*6</f>
        <v/>
      </c>
    </row>
    <row r="711">
      <c r="A711" t="inlineStr">
        <is>
          <t>LL-00710</t>
        </is>
      </c>
      <c r="B711" s="10" t="n">
        <v>46278</v>
      </c>
      <c r="C711" t="inlineStr">
        <is>
          <t>Sep</t>
        </is>
      </c>
      <c r="D711" t="inlineStr">
        <is>
          <t>South</t>
        </is>
      </c>
      <c r="E711" t="inlineStr">
        <is>
          <t>Marketplace</t>
        </is>
      </c>
      <c r="F711" t="inlineStr">
        <is>
          <t>Nest Basket</t>
        </is>
      </c>
      <c r="G711" t="inlineStr">
        <is>
          <t>Living</t>
        </is>
      </c>
      <c r="H711" t="n">
        <v>3</v>
      </c>
      <c r="I711" s="11" t="n">
        <v>55</v>
      </c>
      <c r="J711" s="12" t="n">
        <v>0.2</v>
      </c>
      <c r="K711" s="11">
        <f>H711*I711*(1-J711)</f>
        <v/>
      </c>
      <c r="L711" s="11" t="n">
        <v>24</v>
      </c>
      <c r="M711" s="11">
        <f>K711-(H711*L711)</f>
        <v/>
      </c>
      <c r="N711" s="11">
        <f>H711*15</f>
        <v/>
      </c>
    </row>
    <row r="712">
      <c r="A712" t="inlineStr">
        <is>
          <t>LL-00711</t>
        </is>
      </c>
      <c r="B712" s="10" t="n">
        <v>46321</v>
      </c>
      <c r="C712" t="inlineStr">
        <is>
          <t>Oct</t>
        </is>
      </c>
      <c r="D712" t="inlineStr">
        <is>
          <t>West</t>
        </is>
      </c>
      <c r="E712" t="inlineStr">
        <is>
          <t>Retail</t>
        </is>
      </c>
      <c r="F712" t="inlineStr">
        <is>
          <t>Luna Throw</t>
        </is>
      </c>
      <c r="G712" t="inlineStr">
        <is>
          <t>Living</t>
        </is>
      </c>
      <c r="H712" t="n">
        <v>7</v>
      </c>
      <c r="I712" s="11" t="n">
        <v>69</v>
      </c>
      <c r="J712" s="12" t="n">
        <v>0</v>
      </c>
      <c r="K712" s="11">
        <f>H712*I712*(1-J712)</f>
        <v/>
      </c>
      <c r="L712" s="11" t="n">
        <v>31</v>
      </c>
      <c r="M712" s="11">
        <f>K712-(H712*L712)</f>
        <v/>
      </c>
      <c r="N712" s="11">
        <f>H712*6</f>
        <v/>
      </c>
    </row>
    <row r="713">
      <c r="A713" t="inlineStr">
        <is>
          <t>LL-00712</t>
        </is>
      </c>
      <c r="B713" s="10" t="n">
        <v>46331</v>
      </c>
      <c r="C713" t="inlineStr">
        <is>
          <t>Nov</t>
        </is>
      </c>
      <c r="D713" t="inlineStr">
        <is>
          <t>North</t>
        </is>
      </c>
      <c r="E713" t="inlineStr">
        <is>
          <t>Retail</t>
        </is>
      </c>
      <c r="F713" t="inlineStr">
        <is>
          <t>Aurora Desk Lamp</t>
        </is>
      </c>
      <c r="G713" t="inlineStr">
        <is>
          <t>Lighting</t>
        </is>
      </c>
      <c r="H713" t="n">
        <v>4</v>
      </c>
      <c r="I713" s="11" t="n">
        <v>89</v>
      </c>
      <c r="J713" s="12" t="n">
        <v>0.1</v>
      </c>
      <c r="K713" s="11">
        <f>H713*I713*(1-J713)</f>
        <v/>
      </c>
      <c r="L713" s="11" t="n">
        <v>42</v>
      </c>
      <c r="M713" s="11">
        <f>K713-(H713*L713)</f>
        <v/>
      </c>
      <c r="N713" s="11">
        <f>H713*6</f>
        <v/>
      </c>
    </row>
    <row r="714">
      <c r="A714" t="inlineStr">
        <is>
          <t>LL-00713</t>
        </is>
      </c>
      <c r="B714" s="10" t="n">
        <v>46299</v>
      </c>
      <c r="C714" t="inlineStr">
        <is>
          <t>Oct</t>
        </is>
      </c>
      <c r="D714" t="inlineStr">
        <is>
          <t>West</t>
        </is>
      </c>
      <c r="E714" t="inlineStr">
        <is>
          <t>Online</t>
        </is>
      </c>
      <c r="F714" t="inlineStr">
        <is>
          <t>Arc Side Table</t>
        </is>
      </c>
      <c r="G714" t="inlineStr">
        <is>
          <t>Living</t>
        </is>
      </c>
      <c r="H714" t="n">
        <v>4</v>
      </c>
      <c r="I714" s="11" t="n">
        <v>139</v>
      </c>
      <c r="J714" s="12" t="n">
        <v>0.15</v>
      </c>
      <c r="K714" s="11">
        <f>H714*I714*(1-J714)</f>
        <v/>
      </c>
      <c r="L714" s="11" t="n">
        <v>72</v>
      </c>
      <c r="M714" s="11">
        <f>K714-(H714*L714)</f>
        <v/>
      </c>
      <c r="N714" s="11">
        <f>H714*11</f>
        <v/>
      </c>
    </row>
    <row r="715">
      <c r="A715" t="inlineStr">
        <is>
          <t>LL-00714</t>
        </is>
      </c>
      <c r="B715" s="10" t="n">
        <v>46236</v>
      </c>
      <c r="C715" t="inlineStr">
        <is>
          <t>Aug</t>
        </is>
      </c>
      <c r="D715" t="inlineStr">
        <is>
          <t>West</t>
        </is>
      </c>
      <c r="E715" t="inlineStr">
        <is>
          <t>Marketplace</t>
        </is>
      </c>
      <c r="F715" t="inlineStr">
        <is>
          <t>Aurora Desk Lamp</t>
        </is>
      </c>
      <c r="G715" t="inlineStr">
        <is>
          <t>Lighting</t>
        </is>
      </c>
      <c r="H715" t="n">
        <v>2</v>
      </c>
      <c r="I715" s="11" t="n">
        <v>89</v>
      </c>
      <c r="J715" s="12" t="n">
        <v>0.05</v>
      </c>
      <c r="K715" s="11">
        <f>H715*I715*(1-J715)</f>
        <v/>
      </c>
      <c r="L715" s="11" t="n">
        <v>42</v>
      </c>
      <c r="M715" s="11">
        <f>K715-(H715*L715)</f>
        <v/>
      </c>
      <c r="N715" s="11">
        <f>H715*15</f>
        <v/>
      </c>
    </row>
    <row r="716">
      <c r="A716" t="inlineStr">
        <is>
          <t>LL-00715</t>
        </is>
      </c>
      <c r="B716" s="10" t="n">
        <v>46196</v>
      </c>
      <c r="C716" t="inlineStr">
        <is>
          <t>Jun</t>
        </is>
      </c>
      <c r="D716" t="inlineStr">
        <is>
          <t>East</t>
        </is>
      </c>
      <c r="E716" t="inlineStr">
        <is>
          <t>Online</t>
        </is>
      </c>
      <c r="F716" t="inlineStr">
        <is>
          <t>Focus Monitor Stand</t>
        </is>
      </c>
      <c r="G716" t="inlineStr">
        <is>
          <t>Workspace</t>
        </is>
      </c>
      <c r="H716" t="n">
        <v>7</v>
      </c>
      <c r="I716" s="11" t="n">
        <v>79</v>
      </c>
      <c r="J716" s="12" t="n">
        <v>0.05</v>
      </c>
      <c r="K716" s="11">
        <f>H716*I716*(1-J716)</f>
        <v/>
      </c>
      <c r="L716" s="11" t="n">
        <v>36</v>
      </c>
      <c r="M716" s="11">
        <f>K716-(H716*L716)</f>
        <v/>
      </c>
      <c r="N716" s="11">
        <f>H716*11</f>
        <v/>
      </c>
    </row>
    <row r="717">
      <c r="A717" t="inlineStr">
        <is>
          <t>LL-00716</t>
        </is>
      </c>
      <c r="B717" s="10" t="n">
        <v>46239</v>
      </c>
      <c r="C717" t="inlineStr">
        <is>
          <t>Aug</t>
        </is>
      </c>
      <c r="D717" t="inlineStr">
        <is>
          <t>East</t>
        </is>
      </c>
      <c r="E717" t="inlineStr">
        <is>
          <t>Retail</t>
        </is>
      </c>
      <c r="F717" t="inlineStr">
        <is>
          <t>Aurora Desk Lamp</t>
        </is>
      </c>
      <c r="G717" t="inlineStr">
        <is>
          <t>Lighting</t>
        </is>
      </c>
      <c r="H717" t="n">
        <v>2</v>
      </c>
      <c r="I717" s="11" t="n">
        <v>89</v>
      </c>
      <c r="J717" s="12" t="n">
        <v>0.1</v>
      </c>
      <c r="K717" s="11">
        <f>H717*I717*(1-J717)</f>
        <v/>
      </c>
      <c r="L717" s="11" t="n">
        <v>42</v>
      </c>
      <c r="M717" s="11">
        <f>K717-(H717*L717)</f>
        <v/>
      </c>
      <c r="N717" s="11">
        <f>H717*6</f>
        <v/>
      </c>
    </row>
    <row r="718">
      <c r="A718" t="inlineStr">
        <is>
          <t>LL-00717</t>
        </is>
      </c>
      <c r="B718" s="10" t="n">
        <v>46242</v>
      </c>
      <c r="C718" t="inlineStr">
        <is>
          <t>Aug</t>
        </is>
      </c>
      <c r="D718" t="inlineStr">
        <is>
          <t>South</t>
        </is>
      </c>
      <c r="E718" t="inlineStr">
        <is>
          <t>Online</t>
        </is>
      </c>
      <c r="F718" t="inlineStr">
        <is>
          <t>Focus Monitor Stand</t>
        </is>
      </c>
      <c r="G718" t="inlineStr">
        <is>
          <t>Workspace</t>
        </is>
      </c>
      <c r="H718" t="n">
        <v>7</v>
      </c>
      <c r="I718" s="11" t="n">
        <v>79</v>
      </c>
      <c r="J718" s="12" t="n">
        <v>0.1</v>
      </c>
      <c r="K718" s="11">
        <f>H718*I718*(1-J718)</f>
        <v/>
      </c>
      <c r="L718" s="11" t="n">
        <v>36</v>
      </c>
      <c r="M718" s="11">
        <f>K718-(H718*L718)</f>
        <v/>
      </c>
      <c r="N718" s="11">
        <f>H718*11</f>
        <v/>
      </c>
    </row>
    <row r="719">
      <c r="A719" t="inlineStr">
        <is>
          <t>LL-00718</t>
        </is>
      </c>
      <c r="B719" s="10" t="n">
        <v>46373</v>
      </c>
      <c r="C719" t="inlineStr">
        <is>
          <t>Dec</t>
        </is>
      </c>
      <c r="D719" t="inlineStr">
        <is>
          <t>East</t>
        </is>
      </c>
      <c r="E719" t="inlineStr">
        <is>
          <t>Retail</t>
        </is>
      </c>
      <c r="F719" t="inlineStr">
        <is>
          <t>Luna Throw</t>
        </is>
      </c>
      <c r="G719" t="inlineStr">
        <is>
          <t>Living</t>
        </is>
      </c>
      <c r="H719" t="n">
        <v>4</v>
      </c>
      <c r="I719" s="11" t="n">
        <v>69</v>
      </c>
      <c r="J719" s="12" t="n">
        <v>0.1</v>
      </c>
      <c r="K719" s="11">
        <f>H719*I719*(1-J719)</f>
        <v/>
      </c>
      <c r="L719" s="11" t="n">
        <v>31</v>
      </c>
      <c r="M719" s="11">
        <f>K719-(H719*L719)</f>
        <v/>
      </c>
      <c r="N719" s="11">
        <f>H719*6</f>
        <v/>
      </c>
    </row>
    <row r="720">
      <c r="A720" t="inlineStr">
        <is>
          <t>LL-00719</t>
        </is>
      </c>
      <c r="B720" s="10" t="n">
        <v>46197</v>
      </c>
      <c r="C720" t="inlineStr">
        <is>
          <t>Jun</t>
        </is>
      </c>
      <c r="D720" t="inlineStr">
        <is>
          <t>North</t>
        </is>
      </c>
      <c r="E720" t="inlineStr">
        <is>
          <t>Online</t>
        </is>
      </c>
      <c r="F720" t="inlineStr">
        <is>
          <t>Focus Monitor Stand</t>
        </is>
      </c>
      <c r="G720" t="inlineStr">
        <is>
          <t>Workspace</t>
        </is>
      </c>
      <c r="H720" t="n">
        <v>7</v>
      </c>
      <c r="I720" s="11" t="n">
        <v>79</v>
      </c>
      <c r="J720" s="12" t="n">
        <v>0.1</v>
      </c>
      <c r="K720" s="11">
        <f>H720*I720*(1-J720)</f>
        <v/>
      </c>
      <c r="L720" s="11" t="n">
        <v>36</v>
      </c>
      <c r="M720" s="11">
        <f>K720-(H720*L720)</f>
        <v/>
      </c>
      <c r="N720" s="11">
        <f>H720*11</f>
        <v/>
      </c>
    </row>
    <row r="721">
      <c r="A721" t="inlineStr">
        <is>
          <t>LL-00720</t>
        </is>
      </c>
      <c r="B721" s="10" t="n">
        <v>46225</v>
      </c>
      <c r="C721" t="inlineStr">
        <is>
          <t>Jul</t>
        </is>
      </c>
      <c r="D721" t="inlineStr">
        <is>
          <t>South</t>
        </is>
      </c>
      <c r="E721" t="inlineStr">
        <is>
          <t>Online</t>
        </is>
      </c>
      <c r="F721" t="inlineStr">
        <is>
          <t>Luna Throw</t>
        </is>
      </c>
      <c r="G721" t="inlineStr">
        <is>
          <t>Living</t>
        </is>
      </c>
      <c r="H721" t="n">
        <v>3</v>
      </c>
      <c r="I721" s="11" t="n">
        <v>69</v>
      </c>
      <c r="J721" s="12" t="n">
        <v>0.05</v>
      </c>
      <c r="K721" s="11">
        <f>H721*I721*(1-J721)</f>
        <v/>
      </c>
      <c r="L721" s="11" t="n">
        <v>31</v>
      </c>
      <c r="M721" s="11">
        <f>K721-(H721*L721)</f>
        <v/>
      </c>
      <c r="N721" s="11">
        <f>H721*11</f>
        <v/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Month</t>
        </is>
      </c>
      <c r="B1" s="9" t="inlineStr">
        <is>
          <t>Revenue_Budget</t>
        </is>
      </c>
      <c r="C1" s="9" t="inlineStr">
        <is>
          <t>Gross_Profit_Budget</t>
        </is>
      </c>
      <c r="D1" s="9" t="inlineStr">
        <is>
          <t>Marketing_Budget</t>
        </is>
      </c>
      <c r="E1" s="9" t="inlineStr">
        <is>
          <t>Operating_Cost_Budget</t>
        </is>
      </c>
    </row>
    <row r="2">
      <c r="A2" t="inlineStr">
        <is>
          <t>Jan</t>
        </is>
      </c>
      <c r="B2" s="13" t="n">
        <v>72000</v>
      </c>
      <c r="C2" s="13" t="n">
        <v>30960</v>
      </c>
      <c r="D2" s="13" t="n">
        <v>11400</v>
      </c>
      <c r="E2" s="13" t="n">
        <v>22400</v>
      </c>
    </row>
    <row r="3">
      <c r="A3" t="inlineStr">
        <is>
          <t>Feb</t>
        </is>
      </c>
      <c r="B3" s="13" t="n">
        <v>74600</v>
      </c>
      <c r="C3" s="13" t="n">
        <v>32078</v>
      </c>
      <c r="D3" s="13" t="n">
        <v>9000</v>
      </c>
      <c r="E3" s="13" t="n">
        <v>23100</v>
      </c>
    </row>
    <row r="4">
      <c r="A4" t="inlineStr">
        <is>
          <t>Mar</t>
        </is>
      </c>
      <c r="B4" s="13" t="n">
        <v>77200</v>
      </c>
      <c r="C4" s="13" t="n">
        <v>33196</v>
      </c>
      <c r="D4" s="13" t="n">
        <v>10200</v>
      </c>
      <c r="E4" s="13" t="n">
        <v>21000</v>
      </c>
    </row>
    <row r="5">
      <c r="A5" t="inlineStr">
        <is>
          <t>Apr</t>
        </is>
      </c>
      <c r="B5" s="13" t="n">
        <v>79800</v>
      </c>
      <c r="C5" s="13" t="n">
        <v>34314</v>
      </c>
      <c r="D5" s="13" t="n">
        <v>11400</v>
      </c>
      <c r="E5" s="13" t="n">
        <v>21700</v>
      </c>
    </row>
    <row r="6">
      <c r="A6" t="inlineStr">
        <is>
          <t>May</t>
        </is>
      </c>
      <c r="B6" s="13" t="n">
        <v>82400</v>
      </c>
      <c r="C6" s="13" t="n">
        <v>35432</v>
      </c>
      <c r="D6" s="13" t="n">
        <v>9000</v>
      </c>
      <c r="E6" s="13" t="n">
        <v>22400</v>
      </c>
    </row>
    <row r="7">
      <c r="A7" t="inlineStr">
        <is>
          <t>Jun</t>
        </is>
      </c>
      <c r="B7" s="13" t="n">
        <v>85000</v>
      </c>
      <c r="C7" s="13" t="n">
        <v>36550</v>
      </c>
      <c r="D7" s="13" t="n">
        <v>10200</v>
      </c>
      <c r="E7" s="13" t="n">
        <v>23100</v>
      </c>
    </row>
    <row r="8">
      <c r="A8" t="inlineStr">
        <is>
          <t>Jul</t>
        </is>
      </c>
      <c r="B8" s="13" t="n">
        <v>87600</v>
      </c>
      <c r="C8" s="13" t="n">
        <v>37668</v>
      </c>
      <c r="D8" s="13" t="n">
        <v>11400</v>
      </c>
      <c r="E8" s="13" t="n">
        <v>21000</v>
      </c>
    </row>
    <row r="9">
      <c r="A9" t="inlineStr">
        <is>
          <t>Aug</t>
        </is>
      </c>
      <c r="B9" s="13" t="n">
        <v>90200</v>
      </c>
      <c r="C9" s="13" t="n">
        <v>38786</v>
      </c>
      <c r="D9" s="13" t="n">
        <v>9000</v>
      </c>
      <c r="E9" s="13" t="n">
        <v>21700</v>
      </c>
    </row>
    <row r="10">
      <c r="A10" t="inlineStr">
        <is>
          <t>Sep</t>
        </is>
      </c>
      <c r="B10" s="13" t="n">
        <v>92800</v>
      </c>
      <c r="C10" s="13" t="n">
        <v>39904</v>
      </c>
      <c r="D10" s="13" t="n">
        <v>10200</v>
      </c>
      <c r="E10" s="13" t="n">
        <v>22400</v>
      </c>
    </row>
    <row r="11">
      <c r="A11" t="inlineStr">
        <is>
          <t>Oct</t>
        </is>
      </c>
      <c r="B11" s="13" t="n">
        <v>95400</v>
      </c>
      <c r="C11" s="13" t="n">
        <v>41022</v>
      </c>
      <c r="D11" s="13" t="n">
        <v>11400</v>
      </c>
      <c r="E11" s="13" t="n">
        <v>23100</v>
      </c>
    </row>
    <row r="12">
      <c r="A12" t="inlineStr">
        <is>
          <t>Nov</t>
        </is>
      </c>
      <c r="B12" s="13" t="n">
        <v>98000</v>
      </c>
      <c r="C12" s="13" t="n">
        <v>42140</v>
      </c>
      <c r="D12" s="13" t="n">
        <v>9000</v>
      </c>
      <c r="E12" s="13" t="n">
        <v>21000</v>
      </c>
    </row>
    <row r="13">
      <c r="A13" t="inlineStr">
        <is>
          <t>Dec</t>
        </is>
      </c>
      <c r="B13" s="13" t="n">
        <v>100600</v>
      </c>
      <c r="C13" s="13" t="n">
        <v>43258</v>
      </c>
      <c r="D13" s="13" t="n">
        <v>10200</v>
      </c>
      <c r="E13" s="13" t="n">
        <v>21700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8" customWidth="1" min="3" max="3"/>
  </cols>
  <sheetData>
    <row r="1">
      <c r="A1" s="9" t="inlineStr">
        <is>
          <t>Assumption</t>
        </is>
      </c>
      <c r="B1" s="9" t="inlineStr">
        <is>
          <t>Base value</t>
        </is>
      </c>
      <c r="C1" s="9" t="inlineStr">
        <is>
          <t>Definition / control</t>
        </is>
      </c>
    </row>
    <row r="2">
      <c r="A2" t="inlineStr">
        <is>
          <t>Unit growth</t>
        </is>
      </c>
      <c r="B2" s="14" t="n">
        <v>0.08</v>
      </c>
      <c r="C2" t="inlineStr">
        <is>
          <t>Applied only to FY2027 scenario</t>
        </is>
      </c>
    </row>
    <row r="3">
      <c r="A3" t="inlineStr">
        <is>
          <t>Average discount</t>
        </is>
      </c>
      <c r="B3" s="14" t="n">
        <v>0.09</v>
      </c>
      <c r="C3" t="inlineStr">
        <is>
          <t>Weighted average target</t>
        </is>
      </c>
    </row>
    <row r="4">
      <c r="A4" t="inlineStr">
        <is>
          <t>Unit-cost inflation</t>
        </is>
      </c>
      <c r="B4" s="14" t="n">
        <v>0.04</v>
      </c>
      <c r="C4" t="inlineStr">
        <is>
          <t>Supplier planning assumption</t>
        </is>
      </c>
    </row>
    <row r="5">
      <c r="A5" t="inlineStr">
        <is>
          <t>Marketing spend change</t>
        </is>
      </c>
      <c r="B5" s="14" t="n">
        <v>0.06</v>
      </c>
      <c r="C5" t="inlineStr">
        <is>
          <t>Versus FY2026 budget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4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2">
      <c r="B2" s="15" t="inlineStr">
        <is>
          <t>FY2026 ACTUAL VS BUDGET ANALYSIS</t>
        </is>
      </c>
    </row>
    <row r="4">
      <c r="B4" s="7" t="inlineStr">
        <is>
          <t>Revenue</t>
        </is>
      </c>
      <c r="C4" s="13">
        <f>SUM(Transactions!K2:K721)</f>
        <v/>
      </c>
    </row>
    <row r="5">
      <c r="B5" s="7" t="inlineStr">
        <is>
          <t>Gross Profit</t>
        </is>
      </c>
      <c r="C5" s="13">
        <f>SUM(Transactions!M2:M721)</f>
        <v/>
      </c>
    </row>
    <row r="6">
      <c r="B6" s="7" t="inlineStr">
        <is>
          <t>Gross Margin</t>
        </is>
      </c>
      <c r="C6" s="14">
        <f>IF(C4=0,0,C5/C4)</f>
        <v/>
      </c>
    </row>
    <row r="7">
      <c r="B7" s="7" t="inlineStr">
        <is>
          <t>Operating Contribution</t>
        </is>
      </c>
      <c r="C7" s="13">
        <f>C5-SUM(Transactions!N2:N721)-SUM(Budget!D2:D13)</f>
        <v/>
      </c>
    </row>
    <row r="10">
      <c r="B10" s="5" t="inlineStr">
        <is>
          <t>Month</t>
        </is>
      </c>
      <c r="C10" s="5" t="inlineStr">
        <is>
          <t>Actual Revenue</t>
        </is>
      </c>
      <c r="D10" s="5" t="inlineStr">
        <is>
          <t>Budget Revenue</t>
        </is>
      </c>
      <c r="F10" s="5" t="inlineStr">
        <is>
          <t>Channel</t>
        </is>
      </c>
      <c r="G10" s="5" t="inlineStr">
        <is>
          <t>Revenue</t>
        </is>
      </c>
      <c r="H10" s="5" t="inlineStr">
        <is>
          <t>Gross Profit</t>
        </is>
      </c>
      <c r="I10" s="5" t="inlineStr">
        <is>
          <t>Contribution</t>
        </is>
      </c>
    </row>
    <row r="11">
      <c r="B11" t="inlineStr">
        <is>
          <t>Jan</t>
        </is>
      </c>
      <c r="C11" s="13">
        <f>SUMIF(Transactions!$C$2:$C$721,B11,Transactions!$K$2:$K$721)</f>
        <v/>
      </c>
      <c r="D11" s="13">
        <f>INDEX(Budget!$B$2:$B$13,MATCH(B11,Budget!$A$2:$A$13,0))</f>
        <v/>
      </c>
      <c r="F11" t="inlineStr">
        <is>
          <t>Retail</t>
        </is>
      </c>
      <c r="G11" s="13">
        <f>SUMIF(Transactions!$E$2:$E$721,F11,Transactions!$K$2:$K$721)</f>
        <v/>
      </c>
      <c r="H11" s="13">
        <f>SUMIF(Transactions!$E$2:$E$721,F11,Transactions!$M$2:$M$721)</f>
        <v/>
      </c>
      <c r="I11" s="13">
        <f>H11-SUMIF(Transactions!$E$2:$E$721,F11,Transactions!$N$2:$N$721)</f>
        <v/>
      </c>
    </row>
    <row r="12">
      <c r="B12" t="inlineStr">
        <is>
          <t>Feb</t>
        </is>
      </c>
      <c r="C12" s="13">
        <f>SUMIF(Transactions!$C$2:$C$721,B12,Transactions!$K$2:$K$721)</f>
        <v/>
      </c>
      <c r="D12" s="13">
        <f>INDEX(Budget!$B$2:$B$13,MATCH(B12,Budget!$A$2:$A$13,0))</f>
        <v/>
      </c>
      <c r="F12" t="inlineStr">
        <is>
          <t>Online</t>
        </is>
      </c>
      <c r="G12" s="13">
        <f>SUMIF(Transactions!$E$2:$E$721,F12,Transactions!$K$2:$K$721)</f>
        <v/>
      </c>
      <c r="H12" s="13">
        <f>SUMIF(Transactions!$E$2:$E$721,F12,Transactions!$M$2:$M$721)</f>
        <v/>
      </c>
      <c r="I12" s="13">
        <f>H12-SUMIF(Transactions!$E$2:$E$721,F12,Transactions!$N$2:$N$721)</f>
        <v/>
      </c>
    </row>
    <row r="13">
      <c r="B13" t="inlineStr">
        <is>
          <t>Mar</t>
        </is>
      </c>
      <c r="C13" s="13">
        <f>SUMIF(Transactions!$C$2:$C$721,B13,Transactions!$K$2:$K$721)</f>
        <v/>
      </c>
      <c r="D13" s="13">
        <f>INDEX(Budget!$B$2:$B$13,MATCH(B13,Budget!$A$2:$A$13,0))</f>
        <v/>
      </c>
      <c r="F13" t="inlineStr">
        <is>
          <t>Marketplace</t>
        </is>
      </c>
      <c r="G13" s="13">
        <f>SUMIF(Transactions!$E$2:$E$721,F13,Transactions!$K$2:$K$721)</f>
        <v/>
      </c>
      <c r="H13" s="13">
        <f>SUMIF(Transactions!$E$2:$E$721,F13,Transactions!$M$2:$M$721)</f>
        <v/>
      </c>
      <c r="I13" s="13">
        <f>H13-SUMIF(Transactions!$E$2:$E$721,F13,Transactions!$N$2:$N$721)</f>
        <v/>
      </c>
    </row>
    <row r="14">
      <c r="B14" t="inlineStr">
        <is>
          <t>Apr</t>
        </is>
      </c>
      <c r="C14" s="13">
        <f>SUMIF(Transactions!$C$2:$C$721,B14,Transactions!$K$2:$K$721)</f>
        <v/>
      </c>
      <c r="D14" s="13">
        <f>INDEX(Budget!$B$2:$B$13,MATCH(B14,Budget!$A$2:$A$13,0))</f>
        <v/>
      </c>
    </row>
    <row r="15">
      <c r="B15" t="inlineStr">
        <is>
          <t>May</t>
        </is>
      </c>
      <c r="C15" s="13">
        <f>SUMIF(Transactions!$C$2:$C$721,B15,Transactions!$K$2:$K$721)</f>
        <v/>
      </c>
      <c r="D15" s="13">
        <f>INDEX(Budget!$B$2:$B$13,MATCH(B15,Budget!$A$2:$A$13,0))</f>
        <v/>
      </c>
    </row>
    <row r="16">
      <c r="B16" t="inlineStr">
        <is>
          <t>Jun</t>
        </is>
      </c>
      <c r="C16" s="13">
        <f>SUMIF(Transactions!$C$2:$C$721,B16,Transactions!$K$2:$K$721)</f>
        <v/>
      </c>
      <c r="D16" s="13">
        <f>INDEX(Budget!$B$2:$B$13,MATCH(B16,Budget!$A$2:$A$13,0))</f>
        <v/>
      </c>
    </row>
    <row r="17">
      <c r="B17" t="inlineStr">
        <is>
          <t>Jul</t>
        </is>
      </c>
      <c r="C17" s="13">
        <f>SUMIF(Transactions!$C$2:$C$721,B17,Transactions!$K$2:$K$721)</f>
        <v/>
      </c>
      <c r="D17" s="13">
        <f>INDEX(Budget!$B$2:$B$13,MATCH(B17,Budget!$A$2:$A$13,0))</f>
        <v/>
      </c>
    </row>
    <row r="18">
      <c r="B18" t="inlineStr">
        <is>
          <t>Aug</t>
        </is>
      </c>
      <c r="C18" s="13">
        <f>SUMIF(Transactions!$C$2:$C$721,B18,Transactions!$K$2:$K$721)</f>
        <v/>
      </c>
      <c r="D18" s="13">
        <f>INDEX(Budget!$B$2:$B$13,MATCH(B18,Budget!$A$2:$A$13,0))</f>
        <v/>
      </c>
    </row>
    <row r="19">
      <c r="B19" t="inlineStr">
        <is>
          <t>Sep</t>
        </is>
      </c>
      <c r="C19" s="13">
        <f>SUMIF(Transactions!$C$2:$C$721,B19,Transactions!$K$2:$K$721)</f>
        <v/>
      </c>
      <c r="D19" s="13">
        <f>INDEX(Budget!$B$2:$B$13,MATCH(B19,Budget!$A$2:$A$13,0))</f>
        <v/>
      </c>
    </row>
    <row r="20">
      <c r="B20" t="inlineStr">
        <is>
          <t>Oct</t>
        </is>
      </c>
      <c r="C20" s="13">
        <f>SUMIF(Transactions!$C$2:$C$721,B20,Transactions!$K$2:$K$721)</f>
        <v/>
      </c>
      <c r="D20" s="13">
        <f>INDEX(Budget!$B$2:$B$13,MATCH(B20,Budget!$A$2:$A$13,0))</f>
        <v/>
      </c>
    </row>
    <row r="21">
      <c r="B21" t="inlineStr">
        <is>
          <t>Nov</t>
        </is>
      </c>
      <c r="C21" s="13">
        <f>SUMIF(Transactions!$C$2:$C$721,B21,Transactions!$K$2:$K$721)</f>
        <v/>
      </c>
      <c r="D21" s="13">
        <f>INDEX(Budget!$B$2:$B$13,MATCH(B21,Budget!$A$2:$A$13,0))</f>
        <v/>
      </c>
    </row>
    <row r="22">
      <c r="B22" t="inlineStr">
        <is>
          <t>Dec</t>
        </is>
      </c>
      <c r="C22" s="13">
        <f>SUMIF(Transactions!$C$2:$C$721,B22,Transactions!$K$2:$K$721)</f>
        <v/>
      </c>
      <c r="D22" s="13">
        <f>INDEX(Budget!$B$2:$B$13,MATCH(B22,Budget!$A$2:$A$13,0))</f>
        <v/>
      </c>
    </row>
  </sheetData>
  <mergeCells count="1"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ID</t>
        </is>
      </c>
      <c r="B1" s="9" t="inlineStr">
        <is>
          <t>Source</t>
        </is>
      </c>
      <c r="C1" s="9" t="inlineStr">
        <is>
          <t>Owner</t>
        </is>
      </c>
      <c r="D1" s="9" t="inlineStr">
        <is>
          <t>Approved use</t>
        </is>
      </c>
      <c r="E1" s="9" t="inlineStr">
        <is>
          <t>Last reviewed</t>
        </is>
      </c>
      <c r="F1" s="9" t="inlineStr">
        <is>
          <t>Status</t>
        </is>
      </c>
    </row>
    <row r="2">
      <c r="A2" t="inlineStr">
        <is>
          <t>S01</t>
        </is>
      </c>
      <c r="B2" t="inlineStr">
        <is>
          <t>FY2026 transaction ledger</t>
        </is>
      </c>
      <c r="C2" t="inlineStr">
        <is>
          <t>Finance and Business Performance</t>
        </is>
      </c>
      <c r="D2" t="inlineStr">
        <is>
          <t>Which revenue, margin and cost actions should management prioritise?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Monthly budget</t>
        </is>
      </c>
      <c r="C3" t="inlineStr">
        <is>
          <t>Finance and Business Performance</t>
        </is>
      </c>
      <c r="D3" t="inlineStr">
        <is>
          <t>Which revenue, margin and cost actions should management prioritise?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Product cost table</t>
        </is>
      </c>
      <c r="C4" t="inlineStr">
        <is>
          <t>Finance and Business Performance</t>
        </is>
      </c>
      <c r="D4" t="inlineStr">
        <is>
          <t>Which revenue, margin and cost actions should management prioritise?</t>
        </is>
      </c>
      <c r="E4" s="10" t="n">
        <v>46246</v>
      </c>
      <c r="F4" t="inlineStr">
        <is>
          <t>Approved for training</t>
        </is>
      </c>
    </row>
    <row r="5">
      <c r="A5" t="inlineStr">
        <is>
          <t>S04</t>
        </is>
      </c>
      <c r="B5" t="inlineStr">
        <is>
          <t>Scenario assumptions</t>
        </is>
      </c>
      <c r="C5" t="inlineStr">
        <is>
          <t>Finance and Business Performance</t>
        </is>
      </c>
      <c r="D5" t="inlineStr">
        <is>
          <t>Which revenue, margin and cost actions should management prioritise?</t>
        </is>
      </c>
      <c r="E5" s="10" t="n">
        <v>46246</v>
      </c>
      <c r="F5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9" t="inlineStr">
        <is>
          <t>Date</t>
        </is>
      </c>
      <c r="B1" s="9" t="inlineStr">
        <is>
          <t>Check</t>
        </is>
      </c>
      <c r="C1" s="9" t="inlineStr">
        <is>
          <t>Evidence / change</t>
        </is>
      </c>
      <c r="D1" s="9" t="inlineStr">
        <is>
          <t>Owner</t>
        </is>
      </c>
      <c r="E1" s="9" t="inlineStr">
        <is>
          <t>Reviewer</t>
        </is>
      </c>
      <c r="F1" s="9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2026-08-12T05:15:54Z</dcterms:created>
  <dcterms:modified xmlns:dcterms="http://purl.org/dc/terms/" xmlns:xsi="http://www.w3.org/2001/XMLSchema-instance" xsi:type="dcterms:W3CDTF">2026-08-12T05:15:54Z</dcterms:modified>
</cp:coreProperties>
</file>