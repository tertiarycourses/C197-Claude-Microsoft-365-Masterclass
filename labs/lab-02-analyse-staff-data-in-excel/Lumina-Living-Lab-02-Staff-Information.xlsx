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Staff_List" sheetId="3" state="visible" r:id="rId3"/>
    <sheet xmlns:r="http://schemas.openxmlformats.org/officeDocument/2006/relationships" name="What_Claude_May_Do" sheetId="4" state="visible" r:id="rId4"/>
    <sheet xmlns:r="http://schemas.openxmlformats.org/officeDocument/2006/relationships" name="Management_Control" sheetId="5" state="visible" r:id="rId5"/>
    <sheet xmlns:r="http://schemas.openxmlformats.org/officeDocument/2006/relationships" name="Where_Info_Is_Kept" sheetId="6" state="visible" r:id="rId6"/>
    <sheet xmlns:r="http://schemas.openxmlformats.org/officeDocument/2006/relationships" name="Review_Log" sheetId="7" state="visible" r:id="rId7"/>
  </sheets>
  <definedNames>
    <definedName name="_xlnm.Print_Area" localSheetId="0">'Summary'!$B$2:$J$12</definedName>
    <definedName name="_xlnm.Print_Area" localSheetId="1">'Read_Me'!$B$2:$C$10</definedName>
    <definedName name="_xlnm._FilterDatabase" localSheetId="4" hidden="1">'Management_Control'!$A$1:$H$37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Lab02Control" displayName="tblLab02Control" ref="A1:H37" headerRowCount="1">
  <autoFilter ref="A1:H37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ANALYSE STAFF DATA AND DECIDE WHAT CLAUDE MAY READ</t>
        </is>
      </c>
    </row>
    <row r="3"/>
    <row r="5">
      <c r="B5" s="2" t="inlineStr">
        <is>
          <t>Decision</t>
        </is>
      </c>
      <c r="C5" s="3" t="inlineStr">
        <is>
          <t>Does the saved standard hold without being restated?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02</t>
        </is>
      </c>
    </row>
    <row r="3"/>
    <row r="5">
      <c r="B5" s="2" t="inlineStr">
        <is>
          <t>Activity</t>
        </is>
      </c>
      <c r="C5" s="6" t="inlineStr">
        <is>
          <t>Analyse Staff Data and Decide What Claude May Read</t>
        </is>
      </c>
    </row>
    <row r="6">
      <c r="B6" s="2" t="inlineStr">
        <is>
          <t>Decision</t>
        </is>
      </c>
      <c r="C6" s="6" t="inlineStr">
        <is>
          <t>Does the saved standard hold without being restated?</t>
        </is>
      </c>
    </row>
    <row r="7">
      <c r="B7" s="2" t="inlineStr">
        <is>
          <t>Department</t>
        </is>
      </c>
      <c r="C7" s="6" t="inlineStr">
        <is>
          <t>Human Resources</t>
        </is>
      </c>
    </row>
    <row r="8">
      <c r="B8" s="2" t="inlineStr">
        <is>
          <t>Sponsor</t>
        </is>
      </c>
      <c r="C8" s="6" t="inlineStr">
        <is>
          <t>Head of HR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summary table uses formulas that point at the staff rows, the chart shows leaver rate by team, the file is saved, and all four places have a read-or-change decision with an owner.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7" t="inlineStr">
        <is>
          <t>Ref</t>
        </is>
      </c>
      <c r="B1" s="7" t="inlineStr">
        <is>
          <t>Team</t>
        </is>
      </c>
      <c r="C1" s="7" t="inlineStr">
        <is>
          <t>Role</t>
        </is>
      </c>
      <c r="D1" s="7" t="inlineStr">
        <is>
          <t>Headcount</t>
        </is>
      </c>
      <c r="E1" s="7" t="inlineStr">
        <is>
          <t>Average monthly salary</t>
        </is>
      </c>
      <c r="F1" s="7" t="inlineStr">
        <is>
          <t>Left in last 12 months</t>
        </is>
      </c>
      <c r="G1" s="7" t="inlineStr">
        <is>
          <t>Open days to fill</t>
        </is>
      </c>
    </row>
    <row r="2">
      <c r="A2" t="inlineStr">
        <is>
          <t>R01</t>
        </is>
      </c>
      <c r="B2" t="inlineStr">
        <is>
          <t>Retail</t>
        </is>
      </c>
      <c r="C2" t="inlineStr">
        <is>
          <t>Store Assistant</t>
        </is>
      </c>
      <c r="D2" t="n">
        <v>18</v>
      </c>
      <c r="E2" s="8" t="n">
        <v>2450</v>
      </c>
      <c r="F2" t="n">
        <v>4</v>
      </c>
      <c r="G2" t="n">
        <v>12</v>
      </c>
    </row>
    <row r="3">
      <c r="A3" t="inlineStr">
        <is>
          <t>R02</t>
        </is>
      </c>
      <c r="B3" t="inlineStr">
        <is>
          <t>Retail</t>
        </is>
      </c>
      <c r="C3" t="inlineStr">
        <is>
          <t>Store Supervisor</t>
        </is>
      </c>
      <c r="D3" t="n">
        <v>6</v>
      </c>
      <c r="E3" s="8" t="n">
        <v>3800</v>
      </c>
      <c r="F3" t="n">
        <v>1</v>
      </c>
      <c r="G3" t="n">
        <v>9</v>
      </c>
    </row>
    <row r="4">
      <c r="A4" t="inlineStr">
        <is>
          <t>R03</t>
        </is>
      </c>
      <c r="B4" t="inlineStr">
        <is>
          <t>Retail</t>
        </is>
      </c>
      <c r="C4" t="inlineStr">
        <is>
          <t>Visual Merchandiser</t>
        </is>
      </c>
      <c r="D4" t="n">
        <v>3</v>
      </c>
      <c r="E4" s="8" t="n">
        <v>3400</v>
      </c>
      <c r="F4" t="n">
        <v>0</v>
      </c>
      <c r="G4" t="n">
        <v>6</v>
      </c>
    </row>
    <row r="5">
      <c r="A5" t="inlineStr">
        <is>
          <t>R04</t>
        </is>
      </c>
      <c r="B5" t="inlineStr">
        <is>
          <t>Online</t>
        </is>
      </c>
      <c r="C5" t="inlineStr">
        <is>
          <t>Customer Service</t>
        </is>
      </c>
      <c r="D5" t="n">
        <v>12</v>
      </c>
      <c r="E5" s="8" t="n">
        <v>2900</v>
      </c>
      <c r="F5" t="n">
        <v>3</v>
      </c>
      <c r="G5" t="n">
        <v>15</v>
      </c>
    </row>
    <row r="6">
      <c r="A6" t="inlineStr">
        <is>
          <t>R05</t>
        </is>
      </c>
      <c r="B6" t="inlineStr">
        <is>
          <t>Online</t>
        </is>
      </c>
      <c r="C6" t="inlineStr">
        <is>
          <t>Content Executive</t>
        </is>
      </c>
      <c r="D6" t="n">
        <v>5</v>
      </c>
      <c r="E6" s="8" t="n">
        <v>3600</v>
      </c>
      <c r="F6" t="n">
        <v>1</v>
      </c>
      <c r="G6" t="n">
        <v>7</v>
      </c>
    </row>
    <row r="7">
      <c r="A7" t="inlineStr">
        <is>
          <t>R06</t>
        </is>
      </c>
      <c r="B7" t="inlineStr">
        <is>
          <t>Online</t>
        </is>
      </c>
      <c r="C7" t="inlineStr">
        <is>
          <t>Digital Analyst</t>
        </is>
      </c>
      <c r="D7" t="n">
        <v>4</v>
      </c>
      <c r="E7" s="8" t="n">
        <v>4800</v>
      </c>
      <c r="F7" t="n">
        <v>0</v>
      </c>
      <c r="G7" t="n">
        <v>3</v>
      </c>
    </row>
    <row r="8">
      <c r="A8" t="inlineStr">
        <is>
          <t>R07</t>
        </is>
      </c>
      <c r="B8" t="inlineStr">
        <is>
          <t>Warehouse</t>
        </is>
      </c>
      <c r="C8" t="inlineStr">
        <is>
          <t>Picker Packer</t>
        </is>
      </c>
      <c r="D8" t="n">
        <v>22</v>
      </c>
      <c r="E8" s="8" t="n">
        <v>2300</v>
      </c>
      <c r="F8" t="n">
        <v>6</v>
      </c>
      <c r="G8" t="n">
        <v>21</v>
      </c>
    </row>
    <row r="9">
      <c r="A9" t="inlineStr">
        <is>
          <t>R08</t>
        </is>
      </c>
      <c r="B9" t="inlineStr">
        <is>
          <t>Warehouse</t>
        </is>
      </c>
      <c r="C9" t="inlineStr">
        <is>
          <t>Forklift Operator</t>
        </is>
      </c>
      <c r="D9" t="n">
        <v>7</v>
      </c>
      <c r="E9" s="8" t="n">
        <v>2900</v>
      </c>
      <c r="F9" t="n">
        <v>2</v>
      </c>
      <c r="G9" t="n">
        <v>10</v>
      </c>
    </row>
    <row r="10">
      <c r="A10" t="inlineStr">
        <is>
          <t>R09</t>
        </is>
      </c>
      <c r="B10" t="inlineStr">
        <is>
          <t>Warehouse</t>
        </is>
      </c>
      <c r="C10" t="inlineStr">
        <is>
          <t>Shift Supervisor</t>
        </is>
      </c>
      <c r="D10" t="n">
        <v>5</v>
      </c>
      <c r="E10" s="8" t="n">
        <v>3900</v>
      </c>
      <c r="F10" t="n">
        <v>1</v>
      </c>
      <c r="G10" t="n">
        <v>8</v>
      </c>
    </row>
    <row r="11">
      <c r="A11" t="inlineStr">
        <is>
          <t>R10</t>
        </is>
      </c>
      <c r="B11" t="inlineStr">
        <is>
          <t>Office</t>
        </is>
      </c>
      <c r="C11" t="inlineStr">
        <is>
          <t>Finance Executive</t>
        </is>
      </c>
      <c r="D11" t="n">
        <v>6</v>
      </c>
      <c r="E11" s="8" t="n">
        <v>4200</v>
      </c>
      <c r="F11" t="n">
        <v>0</v>
      </c>
      <c r="G11" t="n">
        <v>4</v>
      </c>
    </row>
    <row r="12">
      <c r="A12" t="inlineStr">
        <is>
          <t>R11</t>
        </is>
      </c>
      <c r="B12" t="inlineStr">
        <is>
          <t>Office</t>
        </is>
      </c>
      <c r="C12" t="inlineStr">
        <is>
          <t>HR Executive</t>
        </is>
      </c>
      <c r="D12" t="n">
        <v>4</v>
      </c>
      <c r="E12" s="8" t="n">
        <v>3900</v>
      </c>
      <c r="F12" t="n">
        <v>1</v>
      </c>
      <c r="G12" t="n">
        <v>5</v>
      </c>
    </row>
    <row r="13">
      <c r="A13" t="inlineStr">
        <is>
          <t>R12</t>
        </is>
      </c>
      <c r="B13" t="inlineStr">
        <is>
          <t>Office</t>
        </is>
      </c>
      <c r="C13" t="inlineStr">
        <is>
          <t>IT Support</t>
        </is>
      </c>
      <c r="D13" t="n">
        <v>3</v>
      </c>
      <c r="E13" s="8" t="n">
        <v>4400</v>
      </c>
      <c r="F13" t="n">
        <v>0</v>
      </c>
      <c r="G13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6" customWidth="1" min="4" max="4"/>
    <col width="18" customWidth="1" min="5" max="5"/>
    <col width="24" customWidth="1" min="6" max="6"/>
    <col width="30" customWidth="1" min="7" max="7"/>
  </cols>
  <sheetData>
    <row r="1">
      <c r="A1" s="7" t="inlineStr">
        <is>
          <t>Ref</t>
        </is>
      </c>
      <c r="B1" s="7" t="inlineStr">
        <is>
          <t>Where staff information is kept</t>
        </is>
      </c>
      <c r="C1" s="7" t="inlineStr">
        <is>
          <t>Who uses it</t>
        </is>
      </c>
      <c r="D1" s="7" t="inlineStr">
        <is>
          <t>Read only or read and change</t>
        </is>
      </c>
      <c r="E1" s="7" t="inlineStr">
        <is>
          <t>Who owns it</t>
        </is>
      </c>
      <c r="F1" s="7" t="inlineStr">
        <is>
          <t>Check again by</t>
        </is>
      </c>
      <c r="G1" s="7" t="inlineStr">
        <is>
          <t>What to do if it is unavailable</t>
        </is>
      </c>
    </row>
    <row r="2" ht="30" customHeight="1">
      <c r="A2" t="inlineStr">
        <is>
          <t>S01</t>
        </is>
      </c>
      <c r="B2" s="6" t="inlineStr">
        <is>
          <t>The second half of the staff handbook</t>
        </is>
      </c>
      <c r="C2" t="inlineStr">
        <is>
          <t>Business Transformation Office</t>
        </is>
      </c>
      <c r="D2" t="inlineStr"/>
      <c r="E2" t="inlineStr"/>
      <c r="F2" t="inlineStr"/>
      <c r="G2" s="6" t="inlineStr"/>
    </row>
    <row r="4">
      <c r="A4" t="inlineStr">
        <is>
          <t>Complete the blank columns yourself. One row per source.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Sections drafted from one line</t>
        </is>
      </c>
      <c r="C2" s="9" t="n">
        <v>90850</v>
      </c>
      <c r="D2" s="9" t="n">
        <v>94155.42999999999</v>
      </c>
      <c r="E2" s="9">
        <f>D2-C2</f>
        <v/>
      </c>
      <c r="F2" s="10">
        <f>IF(C2=0,0,E2/C2)</f>
        <v/>
      </c>
      <c r="G2" t="inlineStr">
        <is>
          <t>Human Resources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Standard held</t>
        </is>
      </c>
      <c r="C3" s="9" t="n">
        <v>97050</v>
      </c>
      <c r="D3" s="9" t="n">
        <v>92508.35000000001</v>
      </c>
      <c r="E3" s="9">
        <f>D3-C3</f>
        <v/>
      </c>
      <c r="F3" s="10">
        <f>IF(C3=0,0,E3/C3)</f>
        <v/>
      </c>
      <c r="G3" t="inlineStr">
        <is>
          <t>Human Resources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Nothing invented</t>
        </is>
      </c>
      <c r="C4" s="9" t="n">
        <v>103250</v>
      </c>
      <c r="D4" s="9" t="n">
        <v>100073.43</v>
      </c>
      <c r="E4" s="9">
        <f>D4-C4</f>
        <v/>
      </c>
      <c r="F4" s="10">
        <f>IF(C4=0,0,E4/C4)</f>
        <v/>
      </c>
      <c r="G4" t="inlineStr">
        <is>
          <t>Human Resources</t>
        </is>
      </c>
      <c r="H4">
        <f>IF(ABS(F4)&lt;=0.05,"On track",IF(F4&gt;0.05,"Above","Attention"))</f>
        <v/>
      </c>
    </row>
    <row r="5">
      <c r="A5" t="inlineStr">
        <is>
          <t>Feb</t>
        </is>
      </c>
      <c r="B5" t="inlineStr">
        <is>
          <t>Sections drafted from one line</t>
        </is>
      </c>
      <c r="C5" s="9" t="n">
        <v>92100</v>
      </c>
      <c r="D5" s="9" t="n">
        <v>85965.21000000001</v>
      </c>
      <c r="E5" s="9">
        <f>D5-C5</f>
        <v/>
      </c>
      <c r="F5" s="10">
        <f>IF(C5=0,0,E5/C5)</f>
        <v/>
      </c>
      <c r="G5" t="inlineStr">
        <is>
          <t>Human Resources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Standard held</t>
        </is>
      </c>
      <c r="C6" s="9" t="n">
        <v>98300</v>
      </c>
      <c r="D6" s="9" t="n">
        <v>106865.31</v>
      </c>
      <c r="E6" s="9">
        <f>D6-C6</f>
        <v/>
      </c>
      <c r="F6" s="10">
        <f>IF(C6=0,0,E6/C6)</f>
        <v/>
      </c>
      <c r="G6" t="inlineStr">
        <is>
          <t>Human Resources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Nothing invented</t>
        </is>
      </c>
      <c r="C7" s="9" t="n">
        <v>104500</v>
      </c>
      <c r="D7" s="9" t="n">
        <v>107127.58</v>
      </c>
      <c r="E7" s="9">
        <f>D7-C7</f>
        <v/>
      </c>
      <c r="F7" s="10">
        <f>IF(C7=0,0,E7/C7)</f>
        <v/>
      </c>
      <c r="G7" t="inlineStr">
        <is>
          <t>Human Resources</t>
        </is>
      </c>
      <c r="H7">
        <f>IF(ABS(F7)&lt;=0.05,"On track",IF(F7&gt;0.05,"Above","Attention"))</f>
        <v/>
      </c>
    </row>
    <row r="8">
      <c r="A8" t="inlineStr">
        <is>
          <t>Mar</t>
        </is>
      </c>
      <c r="B8" t="inlineStr">
        <is>
          <t>Sections drafted from one line</t>
        </is>
      </c>
      <c r="C8" s="9" t="n">
        <v>93350</v>
      </c>
      <c r="D8" s="9" t="n">
        <v>91954.00999999999</v>
      </c>
      <c r="E8" s="9">
        <f>D8-C8</f>
        <v/>
      </c>
      <c r="F8" s="10">
        <f>IF(C8=0,0,E8/C8)</f>
        <v/>
      </c>
      <c r="G8" t="inlineStr">
        <is>
          <t>Human Resources</t>
        </is>
      </c>
      <c r="H8">
        <f>IF(ABS(F8)&lt;=0.05,"On track",IF(F8&gt;0.05,"Above","Attention"))</f>
        <v/>
      </c>
    </row>
    <row r="9">
      <c r="A9" t="inlineStr">
        <is>
          <t>Mar</t>
        </is>
      </c>
      <c r="B9" t="inlineStr">
        <is>
          <t>Standard held</t>
        </is>
      </c>
      <c r="C9" s="9" t="n">
        <v>99550</v>
      </c>
      <c r="D9" s="9" t="n">
        <v>99246.22</v>
      </c>
      <c r="E9" s="9">
        <f>D9-C9</f>
        <v/>
      </c>
      <c r="F9" s="10">
        <f>IF(C9=0,0,E9/C9)</f>
        <v/>
      </c>
      <c r="G9" t="inlineStr">
        <is>
          <t>Human Resources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Nothing invented</t>
        </is>
      </c>
      <c r="C10" s="9" t="n">
        <v>105750</v>
      </c>
      <c r="D10" s="9" t="n">
        <v>102545.91</v>
      </c>
      <c r="E10" s="9">
        <f>D10-C10</f>
        <v/>
      </c>
      <c r="F10" s="10">
        <f>IF(C10=0,0,E10/C10)</f>
        <v/>
      </c>
      <c r="G10" t="inlineStr">
        <is>
          <t>Human Resources</t>
        </is>
      </c>
      <c r="H10">
        <f>IF(ABS(F10)&lt;=0.05,"On track",IF(F10&gt;0.05,"Above","Attention"))</f>
        <v/>
      </c>
    </row>
    <row r="11">
      <c r="A11" t="inlineStr">
        <is>
          <t>Apr</t>
        </is>
      </c>
      <c r="B11" t="inlineStr">
        <is>
          <t>Sections drafted from one line</t>
        </is>
      </c>
      <c r="C11" s="9" t="n">
        <v>94600</v>
      </c>
      <c r="D11" s="9" t="n">
        <v>89871.86</v>
      </c>
      <c r="E11" s="9">
        <f>D11-C11</f>
        <v/>
      </c>
      <c r="F11" s="10">
        <f>IF(C11=0,0,E11/C11)</f>
        <v/>
      </c>
      <c r="G11" t="inlineStr">
        <is>
          <t>Human Resources</t>
        </is>
      </c>
      <c r="H11">
        <f>IF(ABS(F11)&lt;=0.05,"On track",IF(F11&gt;0.05,"Above","Attention"))</f>
        <v/>
      </c>
    </row>
    <row r="12">
      <c r="A12" t="inlineStr">
        <is>
          <t>Apr</t>
        </is>
      </c>
      <c r="B12" t="inlineStr">
        <is>
          <t>Standard held</t>
        </is>
      </c>
      <c r="C12" s="9" t="n">
        <v>100800</v>
      </c>
      <c r="D12" s="9" t="n">
        <v>91928.8</v>
      </c>
      <c r="E12" s="9">
        <f>D12-C12</f>
        <v/>
      </c>
      <c r="F12" s="10">
        <f>IF(C12=0,0,E12/C12)</f>
        <v/>
      </c>
      <c r="G12" t="inlineStr">
        <is>
          <t>Human Resources</t>
        </is>
      </c>
      <c r="H12">
        <f>IF(ABS(F12)&lt;=0.05,"On track",IF(F12&gt;0.05,"Above","Attention"))</f>
        <v/>
      </c>
    </row>
    <row r="13">
      <c r="A13" t="inlineStr">
        <is>
          <t>Apr</t>
        </is>
      </c>
      <c r="B13" t="inlineStr">
        <is>
          <t>Nothing invented</t>
        </is>
      </c>
      <c r="C13" s="9" t="n">
        <v>107000</v>
      </c>
      <c r="D13" s="9" t="n">
        <v>101869.17</v>
      </c>
      <c r="E13" s="9">
        <f>D13-C13</f>
        <v/>
      </c>
      <c r="F13" s="10">
        <f>IF(C13=0,0,E13/C13)</f>
        <v/>
      </c>
      <c r="G13" t="inlineStr">
        <is>
          <t>Human Resources</t>
        </is>
      </c>
      <c r="H13">
        <f>IF(ABS(F13)&lt;=0.05,"On track",IF(F13&gt;0.05,"Above","Attention"))</f>
        <v/>
      </c>
    </row>
    <row r="14">
      <c r="A14" t="inlineStr">
        <is>
          <t>May</t>
        </is>
      </c>
      <c r="B14" t="inlineStr">
        <is>
          <t>Sections drafted from one line</t>
        </is>
      </c>
      <c r="C14" s="9" t="n">
        <v>95850</v>
      </c>
      <c r="D14" s="9" t="n">
        <v>89527.57000000001</v>
      </c>
      <c r="E14" s="9">
        <f>D14-C14</f>
        <v/>
      </c>
      <c r="F14" s="10">
        <f>IF(C14=0,0,E14/C14)</f>
        <v/>
      </c>
      <c r="G14" t="inlineStr">
        <is>
          <t>Human Resources</t>
        </is>
      </c>
      <c r="H14">
        <f>IF(ABS(F14)&lt;=0.05,"On track",IF(F14&gt;0.05,"Above","Attention"))</f>
        <v/>
      </c>
    </row>
    <row r="15">
      <c r="A15" t="inlineStr">
        <is>
          <t>May</t>
        </is>
      </c>
      <c r="B15" t="inlineStr">
        <is>
          <t>Standard held</t>
        </is>
      </c>
      <c r="C15" s="9" t="n">
        <v>102050</v>
      </c>
      <c r="D15" s="9" t="n">
        <v>94391.59</v>
      </c>
      <c r="E15" s="9">
        <f>D15-C15</f>
        <v/>
      </c>
      <c r="F15" s="10">
        <f>IF(C15=0,0,E15/C15)</f>
        <v/>
      </c>
      <c r="G15" t="inlineStr">
        <is>
          <t>Human Resources</t>
        </is>
      </c>
      <c r="H15">
        <f>IF(ABS(F15)&lt;=0.05,"On track",IF(F15&gt;0.05,"Above","Attention"))</f>
        <v/>
      </c>
    </row>
    <row r="16">
      <c r="A16" t="inlineStr">
        <is>
          <t>May</t>
        </is>
      </c>
      <c r="B16" t="inlineStr">
        <is>
          <t>Nothing invented</t>
        </is>
      </c>
      <c r="C16" s="9" t="n">
        <v>108250</v>
      </c>
      <c r="D16" s="9" t="n">
        <v>109026.38</v>
      </c>
      <c r="E16" s="9">
        <f>D16-C16</f>
        <v/>
      </c>
      <c r="F16" s="10">
        <f>IF(C16=0,0,E16/C16)</f>
        <v/>
      </c>
      <c r="G16" t="inlineStr">
        <is>
          <t>Human Resources</t>
        </is>
      </c>
      <c r="H16">
        <f>IF(ABS(F16)&lt;=0.05,"On track",IF(F16&gt;0.05,"Above","Attention"))</f>
        <v/>
      </c>
    </row>
    <row r="17">
      <c r="A17" t="inlineStr">
        <is>
          <t>Jun</t>
        </is>
      </c>
      <c r="B17" t="inlineStr">
        <is>
          <t>Sections drafted from one line</t>
        </is>
      </c>
      <c r="C17" s="9" t="n">
        <v>97100</v>
      </c>
      <c r="D17" s="9" t="n">
        <v>99596.47</v>
      </c>
      <c r="E17" s="9">
        <f>D17-C17</f>
        <v/>
      </c>
      <c r="F17" s="10">
        <f>IF(C17=0,0,E17/C17)</f>
        <v/>
      </c>
      <c r="G17" t="inlineStr">
        <is>
          <t>Human Resources</t>
        </is>
      </c>
      <c r="H17">
        <f>IF(ABS(F17)&lt;=0.05,"On track",IF(F17&gt;0.05,"Above","Attention"))</f>
        <v/>
      </c>
    </row>
    <row r="18">
      <c r="A18" t="inlineStr">
        <is>
          <t>Jun</t>
        </is>
      </c>
      <c r="B18" t="inlineStr">
        <is>
          <t>Standard held</t>
        </is>
      </c>
      <c r="C18" s="9" t="n">
        <v>103300</v>
      </c>
      <c r="D18" s="9" t="n">
        <v>96315.53999999999</v>
      </c>
      <c r="E18" s="9">
        <f>D18-C18</f>
        <v/>
      </c>
      <c r="F18" s="10">
        <f>IF(C18=0,0,E18/C18)</f>
        <v/>
      </c>
      <c r="G18" t="inlineStr">
        <is>
          <t>Human Resources</t>
        </is>
      </c>
      <c r="H18">
        <f>IF(ABS(F18)&lt;=0.05,"On track",IF(F18&gt;0.05,"Above","Attention"))</f>
        <v/>
      </c>
    </row>
    <row r="19">
      <c r="A19" t="inlineStr">
        <is>
          <t>Jun</t>
        </is>
      </c>
      <c r="B19" t="inlineStr">
        <is>
          <t>Nothing invented</t>
        </is>
      </c>
      <c r="C19" s="9" t="n">
        <v>109500</v>
      </c>
      <c r="D19" s="9" t="n">
        <v>109497.06</v>
      </c>
      <c r="E19" s="9">
        <f>D19-C19</f>
        <v/>
      </c>
      <c r="F19" s="10">
        <f>IF(C19=0,0,E19/C19)</f>
        <v/>
      </c>
      <c r="G19" t="inlineStr">
        <is>
          <t>Human Resources</t>
        </is>
      </c>
      <c r="H19">
        <f>IF(ABS(F19)&lt;=0.05,"On track",IF(F19&gt;0.05,"Above","Attention"))</f>
        <v/>
      </c>
    </row>
    <row r="20">
      <c r="A20" t="inlineStr">
        <is>
          <t>Jul</t>
        </is>
      </c>
      <c r="B20" t="inlineStr">
        <is>
          <t>Sections drafted from one line</t>
        </is>
      </c>
      <c r="C20" s="9" t="n">
        <v>98350</v>
      </c>
      <c r="D20" s="9" t="n">
        <v>90942.67999999999</v>
      </c>
      <c r="E20" s="9">
        <f>D20-C20</f>
        <v/>
      </c>
      <c r="F20" s="10">
        <f>IF(C20=0,0,E20/C20)</f>
        <v/>
      </c>
      <c r="G20" t="inlineStr">
        <is>
          <t>Human Resources</t>
        </is>
      </c>
      <c r="H20">
        <f>IF(ABS(F20)&lt;=0.05,"On track",IF(F20&gt;0.05,"Above","Attention"))</f>
        <v/>
      </c>
    </row>
    <row r="21">
      <c r="A21" t="inlineStr">
        <is>
          <t>Jul</t>
        </is>
      </c>
      <c r="B21" t="inlineStr">
        <is>
          <t>Standard held</t>
        </is>
      </c>
      <c r="C21" s="9" t="n">
        <v>104550</v>
      </c>
      <c r="D21" s="9" t="n">
        <v>115729.88</v>
      </c>
      <c r="E21" s="9">
        <f>D21-C21</f>
        <v/>
      </c>
      <c r="F21" s="10">
        <f>IF(C21=0,0,E21/C21)</f>
        <v/>
      </c>
      <c r="G21" t="inlineStr">
        <is>
          <t>Human Resources</t>
        </is>
      </c>
      <c r="H21">
        <f>IF(ABS(F21)&lt;=0.05,"On track",IF(F21&gt;0.05,"Above","Attention"))</f>
        <v/>
      </c>
    </row>
    <row r="22">
      <c r="A22" t="inlineStr">
        <is>
          <t>Jul</t>
        </is>
      </c>
      <c r="B22" t="inlineStr">
        <is>
          <t>Nothing invented</t>
        </is>
      </c>
      <c r="C22" s="9" t="n">
        <v>110750</v>
      </c>
      <c r="D22" s="9" t="n">
        <v>103885.47</v>
      </c>
      <c r="E22" s="9">
        <f>D22-C22</f>
        <v/>
      </c>
      <c r="F22" s="10">
        <f>IF(C22=0,0,E22/C22)</f>
        <v/>
      </c>
      <c r="G22" t="inlineStr">
        <is>
          <t>Human Resources</t>
        </is>
      </c>
      <c r="H22">
        <f>IF(ABS(F22)&lt;=0.05,"On track",IF(F22&gt;0.05,"Above","Attention"))</f>
        <v/>
      </c>
    </row>
    <row r="23">
      <c r="A23" t="inlineStr">
        <is>
          <t>Aug</t>
        </is>
      </c>
      <c r="B23" t="inlineStr">
        <is>
          <t>Sections drafted from one line</t>
        </is>
      </c>
      <c r="C23" s="9" t="n">
        <v>99600</v>
      </c>
      <c r="D23" s="9" t="n">
        <v>96588.07000000001</v>
      </c>
      <c r="E23" s="9">
        <f>D23-C23</f>
        <v/>
      </c>
      <c r="F23" s="10">
        <f>IF(C23=0,0,E23/C23)</f>
        <v/>
      </c>
      <c r="G23" t="inlineStr">
        <is>
          <t>Human Resources</t>
        </is>
      </c>
      <c r="H23">
        <f>IF(ABS(F23)&lt;=0.05,"On track",IF(F23&gt;0.05,"Above","Attention"))</f>
        <v/>
      </c>
    </row>
    <row r="24">
      <c r="A24" t="inlineStr">
        <is>
          <t>Aug</t>
        </is>
      </c>
      <c r="B24" t="inlineStr">
        <is>
          <t>Standard held</t>
        </is>
      </c>
      <c r="C24" s="9" t="n">
        <v>105800</v>
      </c>
      <c r="D24" s="9" t="n">
        <v>101060.38</v>
      </c>
      <c r="E24" s="9">
        <f>D24-C24</f>
        <v/>
      </c>
      <c r="F24" s="10">
        <f>IF(C24=0,0,E24/C24)</f>
        <v/>
      </c>
      <c r="G24" t="inlineStr">
        <is>
          <t>Human Resources</t>
        </is>
      </c>
      <c r="H24">
        <f>IF(ABS(F24)&lt;=0.05,"On track",IF(F24&gt;0.05,"Above","Attention"))</f>
        <v/>
      </c>
    </row>
    <row r="25">
      <c r="A25" t="inlineStr">
        <is>
          <t>Aug</t>
        </is>
      </c>
      <c r="B25" t="inlineStr">
        <is>
          <t>Nothing invented</t>
        </is>
      </c>
      <c r="C25" s="9" t="n">
        <v>112000</v>
      </c>
      <c r="D25" s="9" t="n">
        <v>118141.37</v>
      </c>
      <c r="E25" s="9">
        <f>D25-C25</f>
        <v/>
      </c>
      <c r="F25" s="10">
        <f>IF(C25=0,0,E25/C25)</f>
        <v/>
      </c>
      <c r="G25" t="inlineStr">
        <is>
          <t>Human Resources</t>
        </is>
      </c>
      <c r="H25">
        <f>IF(ABS(F25)&lt;=0.05,"On track",IF(F25&gt;0.05,"Above","Attention"))</f>
        <v/>
      </c>
    </row>
    <row r="26">
      <c r="A26" t="inlineStr">
        <is>
          <t>Sep</t>
        </is>
      </c>
      <c r="B26" t="inlineStr">
        <is>
          <t>Sections drafted from one line</t>
        </is>
      </c>
      <c r="C26" s="9" t="n">
        <v>100850</v>
      </c>
      <c r="D26" s="9" t="n">
        <v>111305.95</v>
      </c>
      <c r="E26" s="9">
        <f>D26-C26</f>
        <v/>
      </c>
      <c r="F26" s="10">
        <f>IF(C26=0,0,E26/C26)</f>
        <v/>
      </c>
      <c r="G26" t="inlineStr">
        <is>
          <t>Human Resources</t>
        </is>
      </c>
      <c r="H26">
        <f>IF(ABS(F26)&lt;=0.05,"On track",IF(F26&gt;0.05,"Above","Attention"))</f>
        <v/>
      </c>
    </row>
    <row r="27">
      <c r="A27" t="inlineStr">
        <is>
          <t>Sep</t>
        </is>
      </c>
      <c r="B27" t="inlineStr">
        <is>
          <t>Standard held</t>
        </is>
      </c>
      <c r="C27" s="9" t="n">
        <v>107050</v>
      </c>
      <c r="D27" s="9" t="n">
        <v>117188.16</v>
      </c>
      <c r="E27" s="9">
        <f>D27-C27</f>
        <v/>
      </c>
      <c r="F27" s="10">
        <f>IF(C27=0,0,E27/C27)</f>
        <v/>
      </c>
      <c r="G27" t="inlineStr">
        <is>
          <t>Human Resources</t>
        </is>
      </c>
      <c r="H27">
        <f>IF(ABS(F27)&lt;=0.05,"On track",IF(F27&gt;0.05,"Above","Attention"))</f>
        <v/>
      </c>
    </row>
    <row r="28">
      <c r="A28" t="inlineStr">
        <is>
          <t>Sep</t>
        </is>
      </c>
      <c r="B28" t="inlineStr">
        <is>
          <t>Nothing invented</t>
        </is>
      </c>
      <c r="C28" s="9" t="n">
        <v>113250</v>
      </c>
      <c r="D28" s="9" t="n">
        <v>125606.84</v>
      </c>
      <c r="E28" s="9">
        <f>D28-C28</f>
        <v/>
      </c>
      <c r="F28" s="10">
        <f>IF(C28=0,0,E28/C28)</f>
        <v/>
      </c>
      <c r="G28" t="inlineStr">
        <is>
          <t>Human Resources</t>
        </is>
      </c>
      <c r="H28">
        <f>IF(ABS(F28)&lt;=0.05,"On track",IF(F28&gt;0.05,"Above","Attention"))</f>
        <v/>
      </c>
    </row>
    <row r="29">
      <c r="A29" t="inlineStr">
        <is>
          <t>Oct</t>
        </is>
      </c>
      <c r="B29" t="inlineStr">
        <is>
          <t>Sections drafted from one line</t>
        </is>
      </c>
      <c r="C29" s="9" t="n">
        <v>102100</v>
      </c>
      <c r="D29" s="9" t="n">
        <v>108297.83</v>
      </c>
      <c r="E29" s="9">
        <f>D29-C29</f>
        <v/>
      </c>
      <c r="F29" s="10">
        <f>IF(C29=0,0,E29/C29)</f>
        <v/>
      </c>
      <c r="G29" t="inlineStr">
        <is>
          <t>Human Resources</t>
        </is>
      </c>
      <c r="H29">
        <f>IF(ABS(F29)&lt;=0.05,"On track",IF(F29&gt;0.05,"Above","Attention"))</f>
        <v/>
      </c>
    </row>
    <row r="30">
      <c r="A30" t="inlineStr">
        <is>
          <t>Oct</t>
        </is>
      </c>
      <c r="B30" t="inlineStr">
        <is>
          <t>Standard held</t>
        </is>
      </c>
      <c r="C30" s="9" t="n">
        <v>108300</v>
      </c>
      <c r="D30" s="9" t="n">
        <v>101960.29</v>
      </c>
      <c r="E30" s="9">
        <f>D30-C30</f>
        <v/>
      </c>
      <c r="F30" s="10">
        <f>IF(C30=0,0,E30/C30)</f>
        <v/>
      </c>
      <c r="G30" t="inlineStr">
        <is>
          <t>Human Resources</t>
        </is>
      </c>
      <c r="H30">
        <f>IF(ABS(F30)&lt;=0.05,"On track",IF(F30&gt;0.05,"Above","Attention"))</f>
        <v/>
      </c>
    </row>
    <row r="31">
      <c r="A31" t="inlineStr">
        <is>
          <t>Oct</t>
        </is>
      </c>
      <c r="B31" t="inlineStr">
        <is>
          <t>Nothing invented</t>
        </is>
      </c>
      <c r="C31" s="9" t="n">
        <v>114500</v>
      </c>
      <c r="D31" s="9" t="n">
        <v>117167.25</v>
      </c>
      <c r="E31" s="9">
        <f>D31-C31</f>
        <v/>
      </c>
      <c r="F31" s="10">
        <f>IF(C31=0,0,E31/C31)</f>
        <v/>
      </c>
      <c r="G31" t="inlineStr">
        <is>
          <t>Human Resources</t>
        </is>
      </c>
      <c r="H31">
        <f>IF(ABS(F31)&lt;=0.05,"On track",IF(F31&gt;0.05,"Above","Attention"))</f>
        <v/>
      </c>
    </row>
    <row r="32">
      <c r="A32" t="inlineStr">
        <is>
          <t>Nov</t>
        </is>
      </c>
      <c r="B32" t="inlineStr">
        <is>
          <t>Sections drafted from one line</t>
        </is>
      </c>
      <c r="C32" s="9" t="n">
        <v>103350</v>
      </c>
      <c r="D32" s="9" t="n">
        <v>111917.33</v>
      </c>
      <c r="E32" s="9">
        <f>D32-C32</f>
        <v/>
      </c>
      <c r="F32" s="10">
        <f>IF(C32=0,0,E32/C32)</f>
        <v/>
      </c>
      <c r="G32" t="inlineStr">
        <is>
          <t>Human Resources</t>
        </is>
      </c>
      <c r="H32">
        <f>IF(ABS(F32)&lt;=0.05,"On track",IF(F32&gt;0.05,"Above","Attention"))</f>
        <v/>
      </c>
    </row>
    <row r="33">
      <c r="A33" t="inlineStr">
        <is>
          <t>Nov</t>
        </is>
      </c>
      <c r="B33" t="inlineStr">
        <is>
          <t>Standard held</t>
        </is>
      </c>
      <c r="C33" s="9" t="n">
        <v>109550</v>
      </c>
      <c r="D33" s="9" t="n">
        <v>107623.49</v>
      </c>
      <c r="E33" s="9">
        <f>D33-C33</f>
        <v/>
      </c>
      <c r="F33" s="10">
        <f>IF(C33=0,0,E33/C33)</f>
        <v/>
      </c>
      <c r="G33" t="inlineStr">
        <is>
          <t>Human Resources</t>
        </is>
      </c>
      <c r="H33">
        <f>IF(ABS(F33)&lt;=0.05,"On track",IF(F33&gt;0.05,"Above","Attention"))</f>
        <v/>
      </c>
    </row>
    <row r="34">
      <c r="A34" t="inlineStr">
        <is>
          <t>Nov</t>
        </is>
      </c>
      <c r="B34" t="inlineStr">
        <is>
          <t>Nothing invented</t>
        </is>
      </c>
      <c r="C34" s="9" t="n">
        <v>115750</v>
      </c>
      <c r="D34" s="9" t="n">
        <v>121136.58</v>
      </c>
      <c r="E34" s="9">
        <f>D34-C34</f>
        <v/>
      </c>
      <c r="F34" s="10">
        <f>IF(C34=0,0,E34/C34)</f>
        <v/>
      </c>
      <c r="G34" t="inlineStr">
        <is>
          <t>Human Resources</t>
        </is>
      </c>
      <c r="H34">
        <f>IF(ABS(F34)&lt;=0.05,"On track",IF(F34&gt;0.05,"Above","Attention"))</f>
        <v/>
      </c>
    </row>
    <row r="35">
      <c r="A35" t="inlineStr">
        <is>
          <t>Dec</t>
        </is>
      </c>
      <c r="B35" t="inlineStr">
        <is>
          <t>Sections drafted from one line</t>
        </is>
      </c>
      <c r="C35" s="9" t="n">
        <v>104600</v>
      </c>
      <c r="D35" s="9" t="n">
        <v>108069.88</v>
      </c>
      <c r="E35" s="9">
        <f>D35-C35</f>
        <v/>
      </c>
      <c r="F35" s="10">
        <f>IF(C35=0,0,E35/C35)</f>
        <v/>
      </c>
      <c r="G35" t="inlineStr">
        <is>
          <t>Human Resources</t>
        </is>
      </c>
      <c r="H35">
        <f>IF(ABS(F35)&lt;=0.05,"On track",IF(F35&gt;0.05,"Above","Attention"))</f>
        <v/>
      </c>
    </row>
    <row r="36">
      <c r="A36" t="inlineStr">
        <is>
          <t>Dec</t>
        </is>
      </c>
      <c r="B36" t="inlineStr">
        <is>
          <t>Standard held</t>
        </is>
      </c>
      <c r="C36" s="9" t="n">
        <v>110800</v>
      </c>
      <c r="D36" s="9" t="n">
        <v>122889.79</v>
      </c>
      <c r="E36" s="9">
        <f>D36-C36</f>
        <v/>
      </c>
      <c r="F36" s="10">
        <f>IF(C36=0,0,E36/C36)</f>
        <v/>
      </c>
      <c r="G36" t="inlineStr">
        <is>
          <t>Human Resources</t>
        </is>
      </c>
      <c r="H36">
        <f>IF(ABS(F36)&lt;=0.05,"On track",IF(F36&gt;0.05,"Above","Attention"))</f>
        <v/>
      </c>
    </row>
    <row r="37">
      <c r="A37" t="inlineStr">
        <is>
          <t>Dec</t>
        </is>
      </c>
      <c r="B37" t="inlineStr">
        <is>
          <t>Nothing invented</t>
        </is>
      </c>
      <c r="C37" s="9" t="n">
        <v>117000</v>
      </c>
      <c r="D37" s="9" t="n">
        <v>120680.7</v>
      </c>
      <c r="E37" s="9">
        <f>D37-C37</f>
        <v/>
      </c>
      <c r="F37" s="10">
        <f>IF(C37=0,0,E37/C37)</f>
        <v/>
      </c>
      <c r="G37" t="inlineStr">
        <is>
          <t>Human Resources</t>
        </is>
      </c>
      <c r="H37">
        <f>IF(ABS(F37)&lt;=0.05,"On track",IF(F37&gt;0.05,"Above","Attention"))</f>
        <v/>
      </c>
    </row>
  </sheetData>
  <autoFilter ref="A1:H3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Ref</t>
        </is>
      </c>
      <c r="B1" s="7" t="inlineStr">
        <is>
          <t>Where staff information is kept</t>
        </is>
      </c>
      <c r="C1" s="7" t="inlineStr">
        <is>
          <t>Who owns it</t>
        </is>
      </c>
      <c r="D1" s="7" t="inlineStr">
        <is>
          <t>What it is used for</t>
        </is>
      </c>
      <c r="E1" s="7" t="inlineStr">
        <is>
          <t>Last checked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The second half of the staff handbook</t>
        </is>
      </c>
      <c r="C2" t="inlineStr">
        <is>
          <t>Human Resources</t>
        </is>
      </c>
      <c r="D2" t="inlineStr">
        <is>
          <t>Staff information</t>
        </is>
      </c>
      <c r="E2" s="11" t="n">
        <v>46246</v>
      </c>
      <c r="F2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1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2026-08-13T18:07:26Z</dcterms:created>
  <dcterms:modified xmlns:dcterms="http://purl.org/dc/terms/" xmlns:xsi="http://www.w3.org/2001/XMLSchema-instance" xsi:type="dcterms:W3CDTF">2026-08-13T18:07:26Z</dcterms:modified>
</cp:coreProperties>
</file>