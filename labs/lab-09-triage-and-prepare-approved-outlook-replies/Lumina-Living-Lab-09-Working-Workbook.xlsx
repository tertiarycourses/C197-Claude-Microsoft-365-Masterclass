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ad_Me" sheetId="2" state="visible" r:id="rId2"/>
    <sheet xmlns:r="http://schemas.openxmlformats.org/officeDocument/2006/relationships" name="Management_Control" sheetId="3" state="visible" r:id="rId3"/>
    <sheet xmlns:r="http://schemas.openxmlformats.org/officeDocument/2006/relationships" name="Source_Register" sheetId="4" state="visible" r:id="rId4"/>
    <sheet xmlns:r="http://schemas.openxmlformats.org/officeDocument/2006/relationships" name="Review_Log" sheetId="5" state="visible" r:id="rId5"/>
  </sheets>
  <definedNames>
    <definedName name="_xlnm.Print_Area" localSheetId="0">'Summary'!$B$2:$J$12</definedName>
    <definedName name="_xlnm.Print_Area" localSheetId="1">'Read_Me'!$B$2:$C$10</definedName>
    <definedName name="_xlnm._FilterDatabase" localSheetId="2" hidden="1">'Management_Control'!$A$1:$H$49</definedName>
  </definedNames>
  <calcPr calcId="124519" fullCalcOnLoad="1"/>
</workbook>
</file>

<file path=xl/styles.xml><?xml version="1.0" encoding="utf-8"?>
<styleSheet xmlns="http://schemas.openxmlformats.org/spreadsheetml/2006/main">
  <numFmts count="4">
    <numFmt numFmtId="164" formatCode="$#,##0"/>
    <numFmt numFmtId="165" formatCode="0.0%"/>
    <numFmt numFmtId="166" formatCode="yyyy-mm-dd"/>
    <numFmt numFmtId="167" formatCode="dd-mmm-yyyy"/>
  </numFmts>
  <fonts count="5">
    <font>
      <name val="Calibri"/>
      <family val="2"/>
      <color theme="1"/>
      <sz val="11"/>
      <scheme val="minor"/>
    </font>
    <font>
      <name val="Arial"/>
      <b val="1"/>
      <color rgb="00FFFFFF"/>
      <sz val="22"/>
    </font>
    <font>
      <name val="Arial"/>
      <b val="1"/>
      <color rgb="001F6FEB"/>
    </font>
    <font>
      <name val="Arial"/>
      <b val="1"/>
      <color rgb="00FFFFFF"/>
    </font>
    <font>
      <name val="Arial"/>
      <b val="1"/>
      <color rgb="00FFFFFF"/>
      <sz val="18"/>
    </font>
  </fonts>
  <fills count="5">
    <fill>
      <patternFill/>
    </fill>
    <fill>
      <patternFill patternType="gray125"/>
    </fill>
    <fill>
      <patternFill patternType="solid">
        <fgColor rgb="00172B4D"/>
      </patternFill>
    </fill>
    <fill>
      <patternFill patternType="solid">
        <fgColor rgb="00EAF2FF"/>
      </patternFill>
    </fill>
    <fill>
      <patternFill patternType="solid">
        <fgColor rgb="001F6FEB"/>
      </patternFill>
    </fill>
  </fills>
  <borders count="1">
    <border>
      <left/>
      <right/>
      <top/>
      <bottom/>
      <diagonal/>
    </border>
  </borders>
  <cellStyleXfs count="1">
    <xf numFmtId="0" fontId="0" fillId="0" borderId="0"/>
  </cellStyleXfs>
  <cellXfs count="11">
    <xf numFmtId="0" fontId="0" fillId="0" borderId="0" pivotButton="0" quotePrefix="0" xfId="0"/>
    <xf numFmtId="0" fontId="4" fillId="2" borderId="0" applyAlignment="1" pivotButton="0" quotePrefix="0" xfId="0">
      <alignment horizontal="center" vertical="center" wrapText="1"/>
    </xf>
    <xf numFmtId="0" fontId="2" fillId="3" borderId="0" pivotButton="0" quotePrefix="0" xfId="0"/>
    <xf numFmtId="0" fontId="0" fillId="0" borderId="0" applyAlignment="1" pivotButton="0" quotePrefix="0" xfId="0">
      <alignment wrapText="1"/>
    </xf>
    <xf numFmtId="0" fontId="0" fillId="0" borderId="0" applyAlignment="1" pivotButton="0" quotePrefix="0" xfId="0">
      <alignment vertical="center" wrapText="1"/>
    </xf>
    <xf numFmtId="0" fontId="1" fillId="2" borderId="0" applyAlignment="1" pivotButton="0" quotePrefix="0" xfId="0">
      <alignment vertical="center"/>
    </xf>
    <xf numFmtId="0" fontId="0" fillId="0" borderId="0" applyAlignment="1" pivotButton="0" quotePrefix="0" xfId="0">
      <alignment vertical="top" wrapText="1"/>
    </xf>
    <xf numFmtId="0" fontId="3" fillId="4" borderId="0" applyAlignment="1" pivotButton="0" quotePrefix="0" xfId="0">
      <alignment vertical="center" wrapText="1"/>
    </xf>
    <xf numFmtId="164"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blLab09Control" displayName="tblLab09Control" ref="A1:H49" headerRowCount="1">
  <autoFilter ref="A1:H49"/>
  <tableColumns count="8">
    <tableColumn id="1" name="Month"/>
    <tableColumn id="2" name="Measure"/>
    <tableColumn id="3" name="Budget"/>
    <tableColumn id="4" name="Actual"/>
    <tableColumn id="5" name="Variance"/>
    <tableColumn id="6" name="Variance_Pct"/>
    <tableColumn id="7" name="Owner"/>
    <tableColumn id="8" name="Status"/>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B2:J9"/>
  <sheetViews>
    <sheetView showGridLines="0" workbookViewId="0">
      <selection activeCell="A1" sqref="A1"/>
    </sheetView>
  </sheetViews>
  <sheetFormatPr baseColWidth="8" defaultRowHeight="15"/>
  <cols>
    <col width="18" customWidth="1" min="2" max="2"/>
    <col width="78" customWidth="1" min="3" max="3"/>
  </cols>
  <sheetData>
    <row r="2">
      <c r="B2" s="1" t="inlineStr">
        <is>
          <t>LUMINA LIVING PTE LTD · TRIAGE AND PREPARE APPROVED OUTLOOK REPLIES</t>
        </is>
      </c>
    </row>
    <row r="3"/>
    <row r="5">
      <c r="B5" s="2" t="inlineStr">
        <is>
          <t>Decision</t>
        </is>
      </c>
      <c r="C5" s="3" t="inlineStr">
        <is>
          <t>Which messages need escalation, a standard draft, a tailored reply or no action?</t>
        </is>
      </c>
    </row>
    <row r="8">
      <c r="B8" s="4" t="inlineStr">
        <is>
          <t>Use Management_Control for detailed fictional measures and Review_Log for approvals.</t>
        </is>
      </c>
    </row>
    <row r="9"/>
  </sheetData>
  <mergeCells count="2">
    <mergeCell ref="B2:J3"/>
    <mergeCell ref="B8:J9"/>
  </mergeCells>
  <pageMargins left="0.75" right="0.75" top="1" bottom="1" header="0.5" footer="0.5"/>
  <pageSetup orientation="landscape" fitToHeight="1" fitToWidth="1"/>
</worksheet>
</file>

<file path=xl/worksheets/sheet2.xml><?xml version="1.0" encoding="utf-8"?>
<worksheet xmlns="http://schemas.openxmlformats.org/spreadsheetml/2006/main">
  <sheetPr>
    <outlinePr summaryBelow="1" summaryRight="1"/>
    <pageSetUpPr/>
  </sheetPr>
  <dimension ref="B2:C10"/>
  <sheetViews>
    <sheetView showGridLines="0" workbookViewId="0">
      <selection activeCell="A1" sqref="A1"/>
    </sheetView>
  </sheetViews>
  <sheetFormatPr baseColWidth="8" defaultRowHeight="15"/>
  <cols>
    <col width="3" customWidth="1" min="1" max="1"/>
    <col width="25" customWidth="1" min="2" max="2"/>
    <col width="90" customWidth="1" min="3" max="3"/>
  </cols>
  <sheetData>
    <row r="2">
      <c r="B2" s="5" t="inlineStr">
        <is>
          <t>LUMINA LIVING PTE LTD · LAB 09</t>
        </is>
      </c>
    </row>
    <row r="3"/>
    <row r="5">
      <c r="B5" s="2" t="inlineStr">
        <is>
          <t>Activity</t>
        </is>
      </c>
      <c r="C5" s="6" t="inlineStr">
        <is>
          <t>Triage and Prepare Approved Outlook Replies</t>
        </is>
      </c>
    </row>
    <row r="6">
      <c r="B6" s="2" t="inlineStr">
        <is>
          <t>Decision</t>
        </is>
      </c>
      <c r="C6" s="6" t="inlineStr">
        <is>
          <t>Which messages need escalation, a standard draft, a tailored reply or no action?</t>
        </is>
      </c>
    </row>
    <row r="7">
      <c r="B7" s="2" t="inlineStr">
        <is>
          <t>Department</t>
        </is>
      </c>
      <c r="C7" s="6" t="inlineStr">
        <is>
          <t>Executive Office</t>
        </is>
      </c>
    </row>
    <row r="8">
      <c r="B8" s="2" t="inlineStr">
        <is>
          <t>Sponsor</t>
        </is>
      </c>
      <c r="C8" s="6" t="inlineStr">
        <is>
          <t>Chief of Staff</t>
        </is>
      </c>
    </row>
    <row r="9">
      <c r="B9" s="2" t="inlineStr">
        <is>
          <t>Fictional data</t>
        </is>
      </c>
      <c r="C9" s="6" t="inlineStr">
        <is>
          <t>All names, messages and figures are synthetic training material.</t>
        </is>
      </c>
    </row>
    <row r="10">
      <c r="B10" s="2" t="inlineStr">
        <is>
          <t>Acceptance</t>
        </is>
      </c>
      <c r="C10" s="6" t="inlineStr">
        <is>
          <t>The triage queue is complete, the thread summary cites every decision, each draft uses an approved template and the reviewer has checked recipients, content, attachments and deadline before any send action.</t>
        </is>
      </c>
    </row>
  </sheetData>
  <mergeCells count="1">
    <mergeCell ref="B2:C3"/>
  </mergeCells>
  <pageMargins left="0.75" right="0.75" top="1" bottom="1" header="0.5" footer="0.5"/>
  <pageSetup fitToHeight="1"/>
</worksheet>
</file>

<file path=xl/worksheets/sheet3.xml><?xml version="1.0" encoding="utf-8"?>
<worksheet xmlns="http://schemas.openxmlformats.org/spreadsheetml/2006/main">
  <sheetPr>
    <outlinePr summaryBelow="1" summaryRight="1"/>
    <pageSetUpPr fitToPage="1"/>
  </sheetPr>
  <dimension ref="A1:H49"/>
  <sheetViews>
    <sheetView showGridLines="0" workbookViewId="0">
      <pane ySplit="1" topLeftCell="A2" activePane="bottomLeft" state="frozen"/>
      <selection pane="bottomLeft" activeCell="A1" sqref="A1"/>
    </sheetView>
  </sheetViews>
  <sheetFormatPr baseColWidth="8" defaultRowHeight="15"/>
  <cols>
    <col width="12" customWidth="1" min="1" max="1"/>
    <col width="24" customWidth="1" min="2" max="2"/>
    <col width="16" customWidth="1" min="3" max="3"/>
    <col width="16" customWidth="1" min="4" max="4"/>
    <col width="16" customWidth="1" min="5" max="5"/>
    <col width="16" customWidth="1" min="6" max="6"/>
    <col width="18" customWidth="1" min="7" max="7"/>
    <col width="18" customWidth="1" min="8" max="8"/>
  </cols>
  <sheetData>
    <row r="1">
      <c r="A1" s="7" t="inlineStr">
        <is>
          <t>Month</t>
        </is>
      </c>
      <c r="B1" s="7" t="inlineStr">
        <is>
          <t>Measure</t>
        </is>
      </c>
      <c r="C1" s="7" t="inlineStr">
        <is>
          <t>Budget</t>
        </is>
      </c>
      <c r="D1" s="7" t="inlineStr">
        <is>
          <t>Actual</t>
        </is>
      </c>
      <c r="E1" s="7" t="inlineStr">
        <is>
          <t>Variance</t>
        </is>
      </c>
      <c r="F1" s="7" t="inlineStr">
        <is>
          <t>Variance_Pct</t>
        </is>
      </c>
      <c r="G1" s="7" t="inlineStr">
        <is>
          <t>Owner</t>
        </is>
      </c>
      <c r="H1" s="7" t="inlineStr">
        <is>
          <t>Status</t>
        </is>
      </c>
    </row>
    <row r="2">
      <c r="A2" t="inlineStr">
        <is>
          <t>Jan</t>
        </is>
      </c>
      <c r="B2" t="inlineStr">
        <is>
          <t>Messages triaged</t>
        </is>
      </c>
      <c r="C2" s="8" t="n">
        <v>102750</v>
      </c>
      <c r="D2" s="8" t="n">
        <v>95282.22</v>
      </c>
      <c r="E2" s="8">
        <f>D2-C2</f>
        <v/>
      </c>
      <c r="F2" s="9">
        <f>IF(C2=0,0,E2/C2)</f>
        <v/>
      </c>
      <c r="G2" t="inlineStr">
        <is>
          <t>Executive Office</t>
        </is>
      </c>
      <c r="H2">
        <f>IF(ABS(F2)&lt;=0.05,"On track",IF(F2&gt;0.05,"Above","Attention"))</f>
        <v/>
      </c>
    </row>
    <row r="3">
      <c r="A3" t="inlineStr">
        <is>
          <t>Jan</t>
        </is>
      </c>
      <c r="B3" t="inlineStr">
        <is>
          <t>Draft turnaround</t>
        </is>
      </c>
      <c r="C3" s="8" t="n">
        <v>108950</v>
      </c>
      <c r="D3" s="8" t="n">
        <v>119657.09</v>
      </c>
      <c r="E3" s="8">
        <f>D3-C3</f>
        <v/>
      </c>
      <c r="F3" s="9">
        <f>IF(C3=0,0,E3/C3)</f>
        <v/>
      </c>
      <c r="G3" t="inlineStr">
        <is>
          <t>Executive Office</t>
        </is>
      </c>
      <c r="H3">
        <f>IF(ABS(F3)&lt;=0.05,"On track",IF(F3&gt;0.05,"Above","Attention"))</f>
        <v/>
      </c>
    </row>
    <row r="4">
      <c r="A4" t="inlineStr">
        <is>
          <t>Jan</t>
        </is>
      </c>
      <c r="B4" t="inlineStr">
        <is>
          <t>Citation completeness</t>
        </is>
      </c>
      <c r="C4" s="8" t="n">
        <v>115150</v>
      </c>
      <c r="D4" s="8" t="n">
        <v>105219.01</v>
      </c>
      <c r="E4" s="8">
        <f>D4-C4</f>
        <v/>
      </c>
      <c r="F4" s="9">
        <f>IF(C4=0,0,E4/C4)</f>
        <v/>
      </c>
      <c r="G4" t="inlineStr">
        <is>
          <t>Executive Office</t>
        </is>
      </c>
      <c r="H4">
        <f>IF(ABS(F4)&lt;=0.05,"On track",IF(F4&gt;0.05,"Above","Attention"))</f>
        <v/>
      </c>
    </row>
    <row r="5">
      <c r="A5" t="inlineStr">
        <is>
          <t>Jan</t>
        </is>
      </c>
      <c r="B5" t="inlineStr">
        <is>
          <t>Escalations</t>
        </is>
      </c>
      <c r="C5" s="8" t="n">
        <v>121350</v>
      </c>
      <c r="D5" s="8" t="n">
        <v>112646.06</v>
      </c>
      <c r="E5" s="8">
        <f>D5-C5</f>
        <v/>
      </c>
      <c r="F5" s="9">
        <f>IF(C5=0,0,E5/C5)</f>
        <v/>
      </c>
      <c r="G5" t="inlineStr">
        <is>
          <t>Executive Office</t>
        </is>
      </c>
      <c r="H5">
        <f>IF(ABS(F5)&lt;=0.05,"On track",IF(F5&gt;0.05,"Above","Attention"))</f>
        <v/>
      </c>
    </row>
    <row r="6">
      <c r="A6" t="inlineStr">
        <is>
          <t>Feb</t>
        </is>
      </c>
      <c r="B6" t="inlineStr">
        <is>
          <t>Messages triaged</t>
        </is>
      </c>
      <c r="C6" s="8" t="n">
        <v>104000</v>
      </c>
      <c r="D6" s="8" t="n">
        <v>102324.4</v>
      </c>
      <c r="E6" s="8">
        <f>D6-C6</f>
        <v/>
      </c>
      <c r="F6" s="9">
        <f>IF(C6=0,0,E6/C6)</f>
        <v/>
      </c>
      <c r="G6" t="inlineStr">
        <is>
          <t>Executive Office</t>
        </is>
      </c>
      <c r="H6">
        <f>IF(ABS(F6)&lt;=0.05,"On track",IF(F6&gt;0.05,"Above","Attention"))</f>
        <v/>
      </c>
    </row>
    <row r="7">
      <c r="A7" t="inlineStr">
        <is>
          <t>Feb</t>
        </is>
      </c>
      <c r="B7" t="inlineStr">
        <is>
          <t>Draft turnaround</t>
        </is>
      </c>
      <c r="C7" s="8" t="n">
        <v>110200</v>
      </c>
      <c r="D7" s="8" t="n">
        <v>117074.41</v>
      </c>
      <c r="E7" s="8">
        <f>D7-C7</f>
        <v/>
      </c>
      <c r="F7" s="9">
        <f>IF(C7=0,0,E7/C7)</f>
        <v/>
      </c>
      <c r="G7" t="inlineStr">
        <is>
          <t>Executive Office</t>
        </is>
      </c>
      <c r="H7">
        <f>IF(ABS(F7)&lt;=0.05,"On track",IF(F7&gt;0.05,"Above","Attention"))</f>
        <v/>
      </c>
    </row>
    <row r="8">
      <c r="A8" t="inlineStr">
        <is>
          <t>Feb</t>
        </is>
      </c>
      <c r="B8" t="inlineStr">
        <is>
          <t>Citation completeness</t>
        </is>
      </c>
      <c r="C8" s="8" t="n">
        <v>116400</v>
      </c>
      <c r="D8" s="8" t="n">
        <v>117647.49</v>
      </c>
      <c r="E8" s="8">
        <f>D8-C8</f>
        <v/>
      </c>
      <c r="F8" s="9">
        <f>IF(C8=0,0,E8/C8)</f>
        <v/>
      </c>
      <c r="G8" t="inlineStr">
        <is>
          <t>Executive Office</t>
        </is>
      </c>
      <c r="H8">
        <f>IF(ABS(F8)&lt;=0.05,"On track",IF(F8&gt;0.05,"Above","Attention"))</f>
        <v/>
      </c>
    </row>
    <row r="9">
      <c r="A9" t="inlineStr">
        <is>
          <t>Feb</t>
        </is>
      </c>
      <c r="B9" t="inlineStr">
        <is>
          <t>Escalations</t>
        </is>
      </c>
      <c r="C9" s="8" t="n">
        <v>122600</v>
      </c>
      <c r="D9" s="8" t="n">
        <v>112421.13</v>
      </c>
      <c r="E9" s="8">
        <f>D9-C9</f>
        <v/>
      </c>
      <c r="F9" s="9">
        <f>IF(C9=0,0,E9/C9)</f>
        <v/>
      </c>
      <c r="G9" t="inlineStr">
        <is>
          <t>Executive Office</t>
        </is>
      </c>
      <c r="H9">
        <f>IF(ABS(F9)&lt;=0.05,"On track",IF(F9&gt;0.05,"Above","Attention"))</f>
        <v/>
      </c>
    </row>
    <row r="10">
      <c r="A10" t="inlineStr">
        <is>
          <t>Mar</t>
        </is>
      </c>
      <c r="B10" t="inlineStr">
        <is>
          <t>Messages triaged</t>
        </is>
      </c>
      <c r="C10" s="8" t="n">
        <v>105250</v>
      </c>
      <c r="D10" s="8" t="n">
        <v>100421.55</v>
      </c>
      <c r="E10" s="8">
        <f>D10-C10</f>
        <v/>
      </c>
      <c r="F10" s="9">
        <f>IF(C10=0,0,E10/C10)</f>
        <v/>
      </c>
      <c r="G10" t="inlineStr">
        <is>
          <t>Executive Office</t>
        </is>
      </c>
      <c r="H10">
        <f>IF(ABS(F10)&lt;=0.05,"On track",IF(F10&gt;0.05,"Above","Attention"))</f>
        <v/>
      </c>
    </row>
    <row r="11">
      <c r="A11" t="inlineStr">
        <is>
          <t>Mar</t>
        </is>
      </c>
      <c r="B11" t="inlineStr">
        <is>
          <t>Draft turnaround</t>
        </is>
      </c>
      <c r="C11" s="8" t="n">
        <v>111450</v>
      </c>
      <c r="D11" s="8" t="n">
        <v>107299.84</v>
      </c>
      <c r="E11" s="8">
        <f>D11-C11</f>
        <v/>
      </c>
      <c r="F11" s="9">
        <f>IF(C11=0,0,E11/C11)</f>
        <v/>
      </c>
      <c r="G11" t="inlineStr">
        <is>
          <t>Executive Office</t>
        </is>
      </c>
      <c r="H11">
        <f>IF(ABS(F11)&lt;=0.05,"On track",IF(F11&gt;0.05,"Above","Attention"))</f>
        <v/>
      </c>
    </row>
    <row r="12">
      <c r="A12" t="inlineStr">
        <is>
          <t>Mar</t>
        </is>
      </c>
      <c r="B12" t="inlineStr">
        <is>
          <t>Citation completeness</t>
        </is>
      </c>
      <c r="C12" s="8" t="n">
        <v>117650</v>
      </c>
      <c r="D12" s="8" t="n">
        <v>111676.4</v>
      </c>
      <c r="E12" s="8">
        <f>D12-C12</f>
        <v/>
      </c>
      <c r="F12" s="9">
        <f>IF(C12=0,0,E12/C12)</f>
        <v/>
      </c>
      <c r="G12" t="inlineStr">
        <is>
          <t>Executive Office</t>
        </is>
      </c>
      <c r="H12">
        <f>IF(ABS(F12)&lt;=0.05,"On track",IF(F12&gt;0.05,"Above","Attention"))</f>
        <v/>
      </c>
    </row>
    <row r="13">
      <c r="A13" t="inlineStr">
        <is>
          <t>Mar</t>
        </is>
      </c>
      <c r="B13" t="inlineStr">
        <is>
          <t>Escalations</t>
        </is>
      </c>
      <c r="C13" s="8" t="n">
        <v>123850</v>
      </c>
      <c r="D13" s="8" t="n">
        <v>126533.59</v>
      </c>
      <c r="E13" s="8">
        <f>D13-C13</f>
        <v/>
      </c>
      <c r="F13" s="9">
        <f>IF(C13=0,0,E13/C13)</f>
        <v/>
      </c>
      <c r="G13" t="inlineStr">
        <is>
          <t>Executive Office</t>
        </is>
      </c>
      <c r="H13">
        <f>IF(ABS(F13)&lt;=0.05,"On track",IF(F13&gt;0.05,"Above","Attention"))</f>
        <v/>
      </c>
    </row>
    <row r="14">
      <c r="A14" t="inlineStr">
        <is>
          <t>Apr</t>
        </is>
      </c>
      <c r="B14" t="inlineStr">
        <is>
          <t>Messages triaged</t>
        </is>
      </c>
      <c r="C14" s="8" t="n">
        <v>106500</v>
      </c>
      <c r="D14" s="8" t="n">
        <v>104117.39</v>
      </c>
      <c r="E14" s="8">
        <f>D14-C14</f>
        <v/>
      </c>
      <c r="F14" s="9">
        <f>IF(C14=0,0,E14/C14)</f>
        <v/>
      </c>
      <c r="G14" t="inlineStr">
        <is>
          <t>Executive Office</t>
        </is>
      </c>
      <c r="H14">
        <f>IF(ABS(F14)&lt;=0.05,"On track",IF(F14&gt;0.05,"Above","Attention"))</f>
        <v/>
      </c>
    </row>
    <row r="15">
      <c r="A15" t="inlineStr">
        <is>
          <t>Apr</t>
        </is>
      </c>
      <c r="B15" t="inlineStr">
        <is>
          <t>Draft turnaround</t>
        </is>
      </c>
      <c r="C15" s="8" t="n">
        <v>112700</v>
      </c>
      <c r="D15" s="8" t="n">
        <v>120557.4</v>
      </c>
      <c r="E15" s="8">
        <f>D15-C15</f>
        <v/>
      </c>
      <c r="F15" s="9">
        <f>IF(C15=0,0,E15/C15)</f>
        <v/>
      </c>
      <c r="G15" t="inlineStr">
        <is>
          <t>Executive Office</t>
        </is>
      </c>
      <c r="H15">
        <f>IF(ABS(F15)&lt;=0.05,"On track",IF(F15&gt;0.05,"Above","Attention"))</f>
        <v/>
      </c>
    </row>
    <row r="16">
      <c r="A16" t="inlineStr">
        <is>
          <t>Apr</t>
        </is>
      </c>
      <c r="B16" t="inlineStr">
        <is>
          <t>Citation completeness</t>
        </is>
      </c>
      <c r="C16" s="8" t="n">
        <v>118900</v>
      </c>
      <c r="D16" s="8" t="n">
        <v>121637.05</v>
      </c>
      <c r="E16" s="8">
        <f>D16-C16</f>
        <v/>
      </c>
      <c r="F16" s="9">
        <f>IF(C16=0,0,E16/C16)</f>
        <v/>
      </c>
      <c r="G16" t="inlineStr">
        <is>
          <t>Executive Office</t>
        </is>
      </c>
      <c r="H16">
        <f>IF(ABS(F16)&lt;=0.05,"On track",IF(F16&gt;0.05,"Above","Attention"))</f>
        <v/>
      </c>
    </row>
    <row r="17">
      <c r="A17" t="inlineStr">
        <is>
          <t>Apr</t>
        </is>
      </c>
      <c r="B17" t="inlineStr">
        <is>
          <t>Escalations</t>
        </is>
      </c>
      <c r="C17" s="8" t="n">
        <v>125100</v>
      </c>
      <c r="D17" s="8" t="n">
        <v>118956.76</v>
      </c>
      <c r="E17" s="8">
        <f>D17-C17</f>
        <v/>
      </c>
      <c r="F17" s="9">
        <f>IF(C17=0,0,E17/C17)</f>
        <v/>
      </c>
      <c r="G17" t="inlineStr">
        <is>
          <t>Executive Office</t>
        </is>
      </c>
      <c r="H17">
        <f>IF(ABS(F17)&lt;=0.05,"On track",IF(F17&gt;0.05,"Above","Attention"))</f>
        <v/>
      </c>
    </row>
    <row r="18">
      <c r="A18" t="inlineStr">
        <is>
          <t>May</t>
        </is>
      </c>
      <c r="B18" t="inlineStr">
        <is>
          <t>Messages triaged</t>
        </is>
      </c>
      <c r="C18" s="8" t="n">
        <v>107750</v>
      </c>
      <c r="D18" s="8" t="n">
        <v>117981.69</v>
      </c>
      <c r="E18" s="8">
        <f>D18-C18</f>
        <v/>
      </c>
      <c r="F18" s="9">
        <f>IF(C18=0,0,E18/C18)</f>
        <v/>
      </c>
      <c r="G18" t="inlineStr">
        <is>
          <t>Executive Office</t>
        </is>
      </c>
      <c r="H18">
        <f>IF(ABS(F18)&lt;=0.05,"On track",IF(F18&gt;0.05,"Above","Attention"))</f>
        <v/>
      </c>
    </row>
    <row r="19">
      <c r="A19" t="inlineStr">
        <is>
          <t>May</t>
        </is>
      </c>
      <c r="B19" t="inlineStr">
        <is>
          <t>Draft turnaround</t>
        </is>
      </c>
      <c r="C19" s="8" t="n">
        <v>113950</v>
      </c>
      <c r="D19" s="8" t="n">
        <v>109586.95</v>
      </c>
      <c r="E19" s="8">
        <f>D19-C19</f>
        <v/>
      </c>
      <c r="F19" s="9">
        <f>IF(C19=0,0,E19/C19)</f>
        <v/>
      </c>
      <c r="G19" t="inlineStr">
        <is>
          <t>Executive Office</t>
        </is>
      </c>
      <c r="H19">
        <f>IF(ABS(F19)&lt;=0.05,"On track",IF(F19&gt;0.05,"Above","Attention"))</f>
        <v/>
      </c>
    </row>
    <row r="20">
      <c r="A20" t="inlineStr">
        <is>
          <t>May</t>
        </is>
      </c>
      <c r="B20" t="inlineStr">
        <is>
          <t>Citation completeness</t>
        </is>
      </c>
      <c r="C20" s="8" t="n">
        <v>120150</v>
      </c>
      <c r="D20" s="8" t="n">
        <v>116285.67</v>
      </c>
      <c r="E20" s="8">
        <f>D20-C20</f>
        <v/>
      </c>
      <c r="F20" s="9">
        <f>IF(C20=0,0,E20/C20)</f>
        <v/>
      </c>
      <c r="G20" t="inlineStr">
        <is>
          <t>Executive Office</t>
        </is>
      </c>
      <c r="H20">
        <f>IF(ABS(F20)&lt;=0.05,"On track",IF(F20&gt;0.05,"Above","Attention"))</f>
        <v/>
      </c>
    </row>
    <row r="21">
      <c r="A21" t="inlineStr">
        <is>
          <t>May</t>
        </is>
      </c>
      <c r="B21" t="inlineStr">
        <is>
          <t>Escalations</t>
        </is>
      </c>
      <c r="C21" s="8" t="n">
        <v>126350</v>
      </c>
      <c r="D21" s="8" t="n">
        <v>120961.24</v>
      </c>
      <c r="E21" s="8">
        <f>D21-C21</f>
        <v/>
      </c>
      <c r="F21" s="9">
        <f>IF(C21=0,0,E21/C21)</f>
        <v/>
      </c>
      <c r="G21" t="inlineStr">
        <is>
          <t>Executive Office</t>
        </is>
      </c>
      <c r="H21">
        <f>IF(ABS(F21)&lt;=0.05,"On track",IF(F21&gt;0.05,"Above","Attention"))</f>
        <v/>
      </c>
    </row>
    <row r="22">
      <c r="A22" t="inlineStr">
        <is>
          <t>Jun</t>
        </is>
      </c>
      <c r="B22" t="inlineStr">
        <is>
          <t>Messages triaged</t>
        </is>
      </c>
      <c r="C22" s="8" t="n">
        <v>109000</v>
      </c>
      <c r="D22" s="8" t="n">
        <v>114729.33</v>
      </c>
      <c r="E22" s="8">
        <f>D22-C22</f>
        <v/>
      </c>
      <c r="F22" s="9">
        <f>IF(C22=0,0,E22/C22)</f>
        <v/>
      </c>
      <c r="G22" t="inlineStr">
        <is>
          <t>Executive Office</t>
        </is>
      </c>
      <c r="H22">
        <f>IF(ABS(F22)&lt;=0.05,"On track",IF(F22&gt;0.05,"Above","Attention"))</f>
        <v/>
      </c>
    </row>
    <row r="23">
      <c r="A23" t="inlineStr">
        <is>
          <t>Jun</t>
        </is>
      </c>
      <c r="B23" t="inlineStr">
        <is>
          <t>Draft turnaround</t>
        </is>
      </c>
      <c r="C23" s="8" t="n">
        <v>115200</v>
      </c>
      <c r="D23" s="8" t="n">
        <v>123219.8</v>
      </c>
      <c r="E23" s="8">
        <f>D23-C23</f>
        <v/>
      </c>
      <c r="F23" s="9">
        <f>IF(C23=0,0,E23/C23)</f>
        <v/>
      </c>
      <c r="G23" t="inlineStr">
        <is>
          <t>Executive Office</t>
        </is>
      </c>
      <c r="H23">
        <f>IF(ABS(F23)&lt;=0.05,"On track",IF(F23&gt;0.05,"Above","Attention"))</f>
        <v/>
      </c>
    </row>
    <row r="24">
      <c r="A24" t="inlineStr">
        <is>
          <t>Jun</t>
        </is>
      </c>
      <c r="B24" t="inlineStr">
        <is>
          <t>Citation completeness</t>
        </is>
      </c>
      <c r="C24" s="8" t="n">
        <v>121400</v>
      </c>
      <c r="D24" s="8" t="n">
        <v>121609.61</v>
      </c>
      <c r="E24" s="8">
        <f>D24-C24</f>
        <v/>
      </c>
      <c r="F24" s="9">
        <f>IF(C24=0,0,E24/C24)</f>
        <v/>
      </c>
      <c r="G24" t="inlineStr">
        <is>
          <t>Executive Office</t>
        </is>
      </c>
      <c r="H24">
        <f>IF(ABS(F24)&lt;=0.05,"On track",IF(F24&gt;0.05,"Above","Attention"))</f>
        <v/>
      </c>
    </row>
    <row r="25">
      <c r="A25" t="inlineStr">
        <is>
          <t>Jun</t>
        </is>
      </c>
      <c r="B25" t="inlineStr">
        <is>
          <t>Escalations</t>
        </is>
      </c>
      <c r="C25" s="8" t="n">
        <v>127600</v>
      </c>
      <c r="D25" s="8" t="n">
        <v>125174.88</v>
      </c>
      <c r="E25" s="8">
        <f>D25-C25</f>
        <v/>
      </c>
      <c r="F25" s="9">
        <f>IF(C25=0,0,E25/C25)</f>
        <v/>
      </c>
      <c r="G25" t="inlineStr">
        <is>
          <t>Executive Office</t>
        </is>
      </c>
      <c r="H25">
        <f>IF(ABS(F25)&lt;=0.05,"On track",IF(F25&gt;0.05,"Above","Attention"))</f>
        <v/>
      </c>
    </row>
    <row r="26">
      <c r="A26" t="inlineStr">
        <is>
          <t>Jul</t>
        </is>
      </c>
      <c r="B26" t="inlineStr">
        <is>
          <t>Messages triaged</t>
        </is>
      </c>
      <c r="C26" s="8" t="n">
        <v>110250</v>
      </c>
      <c r="D26" s="8" t="n">
        <v>108847.97</v>
      </c>
      <c r="E26" s="8">
        <f>D26-C26</f>
        <v/>
      </c>
      <c r="F26" s="9">
        <f>IF(C26=0,0,E26/C26)</f>
        <v/>
      </c>
      <c r="G26" t="inlineStr">
        <is>
          <t>Executive Office</t>
        </is>
      </c>
      <c r="H26">
        <f>IF(ABS(F26)&lt;=0.05,"On track",IF(F26&gt;0.05,"Above","Attention"))</f>
        <v/>
      </c>
    </row>
    <row r="27">
      <c r="A27" t="inlineStr">
        <is>
          <t>Jul</t>
        </is>
      </c>
      <c r="B27" t="inlineStr">
        <is>
          <t>Draft turnaround</t>
        </is>
      </c>
      <c r="C27" s="8" t="n">
        <v>116450</v>
      </c>
      <c r="D27" s="8" t="n">
        <v>127010.48</v>
      </c>
      <c r="E27" s="8">
        <f>D27-C27</f>
        <v/>
      </c>
      <c r="F27" s="9">
        <f>IF(C27=0,0,E27/C27)</f>
        <v/>
      </c>
      <c r="G27" t="inlineStr">
        <is>
          <t>Executive Office</t>
        </is>
      </c>
      <c r="H27">
        <f>IF(ABS(F27)&lt;=0.05,"On track",IF(F27&gt;0.05,"Above","Attention"))</f>
        <v/>
      </c>
    </row>
    <row r="28">
      <c r="A28" t="inlineStr">
        <is>
          <t>Jul</t>
        </is>
      </c>
      <c r="B28" t="inlineStr">
        <is>
          <t>Citation completeness</t>
        </is>
      </c>
      <c r="C28" s="8" t="n">
        <v>122650</v>
      </c>
      <c r="D28" s="8" t="n">
        <v>116905.78</v>
      </c>
      <c r="E28" s="8">
        <f>D28-C28</f>
        <v/>
      </c>
      <c r="F28" s="9">
        <f>IF(C28=0,0,E28/C28)</f>
        <v/>
      </c>
      <c r="G28" t="inlineStr">
        <is>
          <t>Executive Office</t>
        </is>
      </c>
      <c r="H28">
        <f>IF(ABS(F28)&lt;=0.05,"On track",IF(F28&gt;0.05,"Above","Attention"))</f>
        <v/>
      </c>
    </row>
    <row r="29">
      <c r="A29" t="inlineStr">
        <is>
          <t>Jul</t>
        </is>
      </c>
      <c r="B29" t="inlineStr">
        <is>
          <t>Escalations</t>
        </is>
      </c>
      <c r="C29" s="8" t="n">
        <v>128850</v>
      </c>
      <c r="D29" s="8" t="n">
        <v>128991.58</v>
      </c>
      <c r="E29" s="8">
        <f>D29-C29</f>
        <v/>
      </c>
      <c r="F29" s="9">
        <f>IF(C29=0,0,E29/C29)</f>
        <v/>
      </c>
      <c r="G29" t="inlineStr">
        <is>
          <t>Executive Office</t>
        </is>
      </c>
      <c r="H29">
        <f>IF(ABS(F29)&lt;=0.05,"On track",IF(F29&gt;0.05,"Above","Attention"))</f>
        <v/>
      </c>
    </row>
    <row r="30">
      <c r="A30" t="inlineStr">
        <is>
          <t>Aug</t>
        </is>
      </c>
      <c r="B30" t="inlineStr">
        <is>
          <t>Messages triaged</t>
        </is>
      </c>
      <c r="C30" s="8" t="n">
        <v>111500</v>
      </c>
      <c r="D30" s="8" t="n">
        <v>117078.01</v>
      </c>
      <c r="E30" s="8">
        <f>D30-C30</f>
        <v/>
      </c>
      <c r="F30" s="9">
        <f>IF(C30=0,0,E30/C30)</f>
        <v/>
      </c>
      <c r="G30" t="inlineStr">
        <is>
          <t>Executive Office</t>
        </is>
      </c>
      <c r="H30">
        <f>IF(ABS(F30)&lt;=0.05,"On track",IF(F30&gt;0.05,"Above","Attention"))</f>
        <v/>
      </c>
    </row>
    <row r="31">
      <c r="A31" t="inlineStr">
        <is>
          <t>Aug</t>
        </is>
      </c>
      <c r="B31" t="inlineStr">
        <is>
          <t>Draft turnaround</t>
        </is>
      </c>
      <c r="C31" s="8" t="n">
        <v>117700</v>
      </c>
      <c r="D31" s="8" t="n">
        <v>107877.01</v>
      </c>
      <c r="E31" s="8">
        <f>D31-C31</f>
        <v/>
      </c>
      <c r="F31" s="9">
        <f>IF(C31=0,0,E31/C31)</f>
        <v/>
      </c>
      <c r="G31" t="inlineStr">
        <is>
          <t>Executive Office</t>
        </is>
      </c>
      <c r="H31">
        <f>IF(ABS(F31)&lt;=0.05,"On track",IF(F31&gt;0.05,"Above","Attention"))</f>
        <v/>
      </c>
    </row>
    <row r="32">
      <c r="A32" t="inlineStr">
        <is>
          <t>Aug</t>
        </is>
      </c>
      <c r="B32" t="inlineStr">
        <is>
          <t>Citation completeness</t>
        </is>
      </c>
      <c r="C32" s="8" t="n">
        <v>123900</v>
      </c>
      <c r="D32" s="8" t="n">
        <v>130587.81</v>
      </c>
      <c r="E32" s="8">
        <f>D32-C32</f>
        <v/>
      </c>
      <c r="F32" s="9">
        <f>IF(C32=0,0,E32/C32)</f>
        <v/>
      </c>
      <c r="G32" t="inlineStr">
        <is>
          <t>Executive Office</t>
        </is>
      </c>
      <c r="H32">
        <f>IF(ABS(F32)&lt;=0.05,"On track",IF(F32&gt;0.05,"Above","Attention"))</f>
        <v/>
      </c>
    </row>
    <row r="33">
      <c r="A33" t="inlineStr">
        <is>
          <t>Aug</t>
        </is>
      </c>
      <c r="B33" t="inlineStr">
        <is>
          <t>Escalations</t>
        </is>
      </c>
      <c r="C33" s="8" t="n">
        <v>130100</v>
      </c>
      <c r="D33" s="8" t="n">
        <v>123892.5</v>
      </c>
      <c r="E33" s="8">
        <f>D33-C33</f>
        <v/>
      </c>
      <c r="F33" s="9">
        <f>IF(C33=0,0,E33/C33)</f>
        <v/>
      </c>
      <c r="G33" t="inlineStr">
        <is>
          <t>Executive Office</t>
        </is>
      </c>
      <c r="H33">
        <f>IF(ABS(F33)&lt;=0.05,"On track",IF(F33&gt;0.05,"Above","Attention"))</f>
        <v/>
      </c>
    </row>
    <row r="34">
      <c r="A34" t="inlineStr">
        <is>
          <t>Sep</t>
        </is>
      </c>
      <c r="B34" t="inlineStr">
        <is>
          <t>Messages triaged</t>
        </is>
      </c>
      <c r="C34" s="8" t="n">
        <v>112750</v>
      </c>
      <c r="D34" s="8" t="n">
        <v>108802.62</v>
      </c>
      <c r="E34" s="8">
        <f>D34-C34</f>
        <v/>
      </c>
      <c r="F34" s="9">
        <f>IF(C34=0,0,E34/C34)</f>
        <v/>
      </c>
      <c r="G34" t="inlineStr">
        <is>
          <t>Executive Office</t>
        </is>
      </c>
      <c r="H34">
        <f>IF(ABS(F34)&lt;=0.05,"On track",IF(F34&gt;0.05,"Above","Attention"))</f>
        <v/>
      </c>
    </row>
    <row r="35">
      <c r="A35" t="inlineStr">
        <is>
          <t>Sep</t>
        </is>
      </c>
      <c r="B35" t="inlineStr">
        <is>
          <t>Draft turnaround</t>
        </is>
      </c>
      <c r="C35" s="8" t="n">
        <v>118950</v>
      </c>
      <c r="D35" s="8" t="n">
        <v>111458.15</v>
      </c>
      <c r="E35" s="8">
        <f>D35-C35</f>
        <v/>
      </c>
      <c r="F35" s="9">
        <f>IF(C35=0,0,E35/C35)</f>
        <v/>
      </c>
      <c r="G35" t="inlineStr">
        <is>
          <t>Executive Office</t>
        </is>
      </c>
      <c r="H35">
        <f>IF(ABS(F35)&lt;=0.05,"On track",IF(F35&gt;0.05,"Above","Attention"))</f>
        <v/>
      </c>
    </row>
    <row r="36">
      <c r="A36" t="inlineStr">
        <is>
          <t>Sep</t>
        </is>
      </c>
      <c r="B36" t="inlineStr">
        <is>
          <t>Citation completeness</t>
        </is>
      </c>
      <c r="C36" s="8" t="n">
        <v>125150</v>
      </c>
      <c r="D36" s="8" t="n">
        <v>133288.48</v>
      </c>
      <c r="E36" s="8">
        <f>D36-C36</f>
        <v/>
      </c>
      <c r="F36" s="9">
        <f>IF(C36=0,0,E36/C36)</f>
        <v/>
      </c>
      <c r="G36" t="inlineStr">
        <is>
          <t>Executive Office</t>
        </is>
      </c>
      <c r="H36">
        <f>IF(ABS(F36)&lt;=0.05,"On track",IF(F36&gt;0.05,"Above","Attention"))</f>
        <v/>
      </c>
    </row>
    <row r="37">
      <c r="A37" t="inlineStr">
        <is>
          <t>Sep</t>
        </is>
      </c>
      <c r="B37" t="inlineStr">
        <is>
          <t>Escalations</t>
        </is>
      </c>
      <c r="C37" s="8" t="n">
        <v>131350</v>
      </c>
      <c r="D37" s="8" t="n">
        <v>141961.7</v>
      </c>
      <c r="E37" s="8">
        <f>D37-C37</f>
        <v/>
      </c>
      <c r="F37" s="9">
        <f>IF(C37=0,0,E37/C37)</f>
        <v/>
      </c>
      <c r="G37" t="inlineStr">
        <is>
          <t>Executive Office</t>
        </is>
      </c>
      <c r="H37">
        <f>IF(ABS(F37)&lt;=0.05,"On track",IF(F37&gt;0.05,"Above","Attention"))</f>
        <v/>
      </c>
    </row>
    <row r="38">
      <c r="A38" t="inlineStr">
        <is>
          <t>Oct</t>
        </is>
      </c>
      <c r="B38" t="inlineStr">
        <is>
          <t>Messages triaged</t>
        </is>
      </c>
      <c r="C38" s="8" t="n">
        <v>114000</v>
      </c>
      <c r="D38" s="8" t="n">
        <v>119547.35</v>
      </c>
      <c r="E38" s="8">
        <f>D38-C38</f>
        <v/>
      </c>
      <c r="F38" s="9">
        <f>IF(C38=0,0,E38/C38)</f>
        <v/>
      </c>
      <c r="G38" t="inlineStr">
        <is>
          <t>Executive Office</t>
        </is>
      </c>
      <c r="H38">
        <f>IF(ABS(F38)&lt;=0.05,"On track",IF(F38&gt;0.05,"Above","Attention"))</f>
        <v/>
      </c>
    </row>
    <row r="39">
      <c r="A39" t="inlineStr">
        <is>
          <t>Oct</t>
        </is>
      </c>
      <c r="B39" t="inlineStr">
        <is>
          <t>Draft turnaround</t>
        </is>
      </c>
      <c r="C39" s="8" t="n">
        <v>120200</v>
      </c>
      <c r="D39" s="8" t="n">
        <v>122581.44</v>
      </c>
      <c r="E39" s="8">
        <f>D39-C39</f>
        <v/>
      </c>
      <c r="F39" s="9">
        <f>IF(C39=0,0,E39/C39)</f>
        <v/>
      </c>
      <c r="G39" t="inlineStr">
        <is>
          <t>Executive Office</t>
        </is>
      </c>
      <c r="H39">
        <f>IF(ABS(F39)&lt;=0.05,"On track",IF(F39&gt;0.05,"Above","Attention"))</f>
        <v/>
      </c>
    </row>
    <row r="40">
      <c r="A40" t="inlineStr">
        <is>
          <t>Oct</t>
        </is>
      </c>
      <c r="B40" t="inlineStr">
        <is>
          <t>Citation completeness</t>
        </is>
      </c>
      <c r="C40" s="8" t="n">
        <v>126400</v>
      </c>
      <c r="D40" s="8" t="n">
        <v>137646.57</v>
      </c>
      <c r="E40" s="8">
        <f>D40-C40</f>
        <v/>
      </c>
      <c r="F40" s="9">
        <f>IF(C40=0,0,E40/C40)</f>
        <v/>
      </c>
      <c r="G40" t="inlineStr">
        <is>
          <t>Executive Office</t>
        </is>
      </c>
      <c r="H40">
        <f>IF(ABS(F40)&lt;=0.05,"On track",IF(F40&gt;0.05,"Above","Attention"))</f>
        <v/>
      </c>
    </row>
    <row r="41">
      <c r="A41" t="inlineStr">
        <is>
          <t>Oct</t>
        </is>
      </c>
      <c r="B41" t="inlineStr">
        <is>
          <t>Escalations</t>
        </is>
      </c>
      <c r="C41" s="8" t="n">
        <v>132600</v>
      </c>
      <c r="D41" s="8" t="n">
        <v>133524.24</v>
      </c>
      <c r="E41" s="8">
        <f>D41-C41</f>
        <v/>
      </c>
      <c r="F41" s="9">
        <f>IF(C41=0,0,E41/C41)</f>
        <v/>
      </c>
      <c r="G41" t="inlineStr">
        <is>
          <t>Executive Office</t>
        </is>
      </c>
      <c r="H41">
        <f>IF(ABS(F41)&lt;=0.05,"On track",IF(F41&gt;0.05,"Above","Attention"))</f>
        <v/>
      </c>
    </row>
    <row r="42">
      <c r="A42" t="inlineStr">
        <is>
          <t>Nov</t>
        </is>
      </c>
      <c r="B42" t="inlineStr">
        <is>
          <t>Messages triaged</t>
        </is>
      </c>
      <c r="C42" s="8" t="n">
        <v>115250</v>
      </c>
      <c r="D42" s="8" t="n">
        <v>126374.97</v>
      </c>
      <c r="E42" s="8">
        <f>D42-C42</f>
        <v/>
      </c>
      <c r="F42" s="9">
        <f>IF(C42=0,0,E42/C42)</f>
        <v/>
      </c>
      <c r="G42" t="inlineStr">
        <is>
          <t>Executive Office</t>
        </is>
      </c>
      <c r="H42">
        <f>IF(ABS(F42)&lt;=0.05,"On track",IF(F42&gt;0.05,"Above","Attention"))</f>
        <v/>
      </c>
    </row>
    <row r="43">
      <c r="A43" t="inlineStr">
        <is>
          <t>Nov</t>
        </is>
      </c>
      <c r="B43" t="inlineStr">
        <is>
          <t>Draft turnaround</t>
        </is>
      </c>
      <c r="C43" s="8" t="n">
        <v>121450</v>
      </c>
      <c r="D43" s="8" t="n">
        <v>129118.75</v>
      </c>
      <c r="E43" s="8">
        <f>D43-C43</f>
        <v/>
      </c>
      <c r="F43" s="9">
        <f>IF(C43=0,0,E43/C43)</f>
        <v/>
      </c>
      <c r="G43" t="inlineStr">
        <is>
          <t>Executive Office</t>
        </is>
      </c>
      <c r="H43">
        <f>IF(ABS(F43)&lt;=0.05,"On track",IF(F43&gt;0.05,"Above","Attention"))</f>
        <v/>
      </c>
    </row>
    <row r="44">
      <c r="A44" t="inlineStr">
        <is>
          <t>Nov</t>
        </is>
      </c>
      <c r="B44" t="inlineStr">
        <is>
          <t>Citation completeness</t>
        </is>
      </c>
      <c r="C44" s="8" t="n">
        <v>127650</v>
      </c>
      <c r="D44" s="8" t="n">
        <v>134935.86</v>
      </c>
      <c r="E44" s="8">
        <f>D44-C44</f>
        <v/>
      </c>
      <c r="F44" s="9">
        <f>IF(C44=0,0,E44/C44)</f>
        <v/>
      </c>
      <c r="G44" t="inlineStr">
        <is>
          <t>Executive Office</t>
        </is>
      </c>
      <c r="H44">
        <f>IF(ABS(F44)&lt;=0.05,"On track",IF(F44&gt;0.05,"Above","Attention"))</f>
        <v/>
      </c>
    </row>
    <row r="45">
      <c r="A45" t="inlineStr">
        <is>
          <t>Nov</t>
        </is>
      </c>
      <c r="B45" t="inlineStr">
        <is>
          <t>Escalations</t>
        </is>
      </c>
      <c r="C45" s="8" t="n">
        <v>133850</v>
      </c>
      <c r="D45" s="8" t="n">
        <v>134923.59</v>
      </c>
      <c r="E45" s="8">
        <f>D45-C45</f>
        <v/>
      </c>
      <c r="F45" s="9">
        <f>IF(C45=0,0,E45/C45)</f>
        <v/>
      </c>
      <c r="G45" t="inlineStr">
        <is>
          <t>Executive Office</t>
        </is>
      </c>
      <c r="H45">
        <f>IF(ABS(F45)&lt;=0.05,"On track",IF(F45&gt;0.05,"Above","Attention"))</f>
        <v/>
      </c>
    </row>
    <row r="46">
      <c r="A46" t="inlineStr">
        <is>
          <t>Dec</t>
        </is>
      </c>
      <c r="B46" t="inlineStr">
        <is>
          <t>Messages triaged</t>
        </is>
      </c>
      <c r="C46" s="8" t="n">
        <v>116500</v>
      </c>
      <c r="D46" s="8" t="n">
        <v>119838.92</v>
      </c>
      <c r="E46" s="8">
        <f>D46-C46</f>
        <v/>
      </c>
      <c r="F46" s="9">
        <f>IF(C46=0,0,E46/C46)</f>
        <v/>
      </c>
      <c r="G46" t="inlineStr">
        <is>
          <t>Executive Office</t>
        </is>
      </c>
      <c r="H46">
        <f>IF(ABS(F46)&lt;=0.05,"On track",IF(F46&gt;0.05,"Above","Attention"))</f>
        <v/>
      </c>
    </row>
    <row r="47">
      <c r="A47" t="inlineStr">
        <is>
          <t>Dec</t>
        </is>
      </c>
      <c r="B47" t="inlineStr">
        <is>
          <t>Draft turnaround</t>
        </is>
      </c>
      <c r="C47" s="8" t="n">
        <v>122700</v>
      </c>
      <c r="D47" s="8" t="n">
        <v>119640.32</v>
      </c>
      <c r="E47" s="8">
        <f>D47-C47</f>
        <v/>
      </c>
      <c r="F47" s="9">
        <f>IF(C47=0,0,E47/C47)</f>
        <v/>
      </c>
      <c r="G47" t="inlineStr">
        <is>
          <t>Executive Office</t>
        </is>
      </c>
      <c r="H47">
        <f>IF(ABS(F47)&lt;=0.05,"On track",IF(F47&gt;0.05,"Above","Attention"))</f>
        <v/>
      </c>
    </row>
    <row r="48">
      <c r="A48" t="inlineStr">
        <is>
          <t>Dec</t>
        </is>
      </c>
      <c r="B48" t="inlineStr">
        <is>
          <t>Citation completeness</t>
        </is>
      </c>
      <c r="C48" s="8" t="n">
        <v>128900</v>
      </c>
      <c r="D48" s="8" t="n">
        <v>140047.19</v>
      </c>
      <c r="E48" s="8">
        <f>D48-C48</f>
        <v/>
      </c>
      <c r="F48" s="9">
        <f>IF(C48=0,0,E48/C48)</f>
        <v/>
      </c>
      <c r="G48" t="inlineStr">
        <is>
          <t>Executive Office</t>
        </is>
      </c>
      <c r="H48">
        <f>IF(ABS(F48)&lt;=0.05,"On track",IF(F48&gt;0.05,"Above","Attention"))</f>
        <v/>
      </c>
    </row>
    <row r="49">
      <c r="A49" t="inlineStr">
        <is>
          <t>Dec</t>
        </is>
      </c>
      <c r="B49" t="inlineStr">
        <is>
          <t>Escalations</t>
        </is>
      </c>
      <c r="C49" s="8" t="n">
        <v>135100</v>
      </c>
      <c r="D49" s="8" t="n">
        <v>146052.74</v>
      </c>
      <c r="E49" s="8">
        <f>D49-C49</f>
        <v/>
      </c>
      <c r="F49" s="9">
        <f>IF(C49=0,0,E49/C49)</f>
        <v/>
      </c>
      <c r="G49" t="inlineStr">
        <is>
          <t>Executive Office</t>
        </is>
      </c>
      <c r="H49">
        <f>IF(ABS(F49)&lt;=0.05,"On track",IF(F49&gt;0.05,"Above","Attention"))</f>
        <v/>
      </c>
    </row>
  </sheetData>
  <autoFilter ref="A1:H49"/>
  <pageMargins left="0.75" right="0.75" top="1" bottom="1" header="0.5" footer="0.5"/>
  <pageSetup orientation="landscape"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F5"/>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24" customWidth="1" min="3" max="3"/>
    <col width="18" customWidth="1" min="4" max="4"/>
    <col width="18" customWidth="1" min="5" max="5"/>
    <col width="18" customWidth="1" min="6" max="6"/>
  </cols>
  <sheetData>
    <row r="1">
      <c r="A1" s="7" t="inlineStr">
        <is>
          <t>ID</t>
        </is>
      </c>
      <c r="B1" s="7" t="inlineStr">
        <is>
          <t>Source</t>
        </is>
      </c>
      <c r="C1" s="7" t="inlineStr">
        <is>
          <t>Owner</t>
        </is>
      </c>
      <c r="D1" s="7" t="inlineStr">
        <is>
          <t>Approved use</t>
        </is>
      </c>
      <c r="E1" s="7" t="inlineStr">
        <is>
          <t>Last reviewed</t>
        </is>
      </c>
      <c r="F1" s="7" t="inlineStr">
        <is>
          <t>Status</t>
        </is>
      </c>
    </row>
    <row r="2">
      <c r="A2" t="inlineStr">
        <is>
          <t>S01</t>
        </is>
      </c>
      <c r="B2" t="inlineStr">
        <is>
          <t>Planning inbox sample</t>
        </is>
      </c>
      <c r="C2" t="inlineStr">
        <is>
          <t>Executive Office</t>
        </is>
      </c>
      <c r="D2" t="inlineStr">
        <is>
          <t>Which messages need escalation, a standard draft, a tailored reply or no action?</t>
        </is>
      </c>
      <c r="E2" s="10" t="n">
        <v>46246</v>
      </c>
      <c r="F2" t="inlineStr">
        <is>
          <t>Approved for training</t>
        </is>
      </c>
    </row>
    <row r="3">
      <c r="A3" t="inlineStr">
        <is>
          <t>S02</t>
        </is>
      </c>
      <c r="B3" t="inlineStr">
        <is>
          <t>Reply policy</t>
        </is>
      </c>
      <c r="C3" t="inlineStr">
        <is>
          <t>Executive Office</t>
        </is>
      </c>
      <c r="D3" t="inlineStr">
        <is>
          <t>Which messages need escalation, a standard draft, a tailored reply or no action?</t>
        </is>
      </c>
      <c r="E3" s="10" t="n">
        <v>46246</v>
      </c>
      <c r="F3" t="inlineStr">
        <is>
          <t>Approved for training</t>
        </is>
      </c>
    </row>
    <row r="4">
      <c r="A4" t="inlineStr">
        <is>
          <t>S03</t>
        </is>
      </c>
      <c r="B4" t="inlineStr">
        <is>
          <t>Executive tone guide</t>
        </is>
      </c>
      <c r="C4" t="inlineStr">
        <is>
          <t>Executive Office</t>
        </is>
      </c>
      <c r="D4" t="inlineStr">
        <is>
          <t>Which messages need escalation, a standard draft, a tailored reply or no action?</t>
        </is>
      </c>
      <c r="E4" s="10" t="n">
        <v>46246</v>
      </c>
      <c r="F4" t="inlineStr">
        <is>
          <t>Approved for training</t>
        </is>
      </c>
    </row>
    <row r="5">
      <c r="A5" t="inlineStr">
        <is>
          <t>S04</t>
        </is>
      </c>
      <c r="B5" t="inlineStr">
        <is>
          <t>Meeting calendar</t>
        </is>
      </c>
      <c r="C5" t="inlineStr">
        <is>
          <t>Executive Office</t>
        </is>
      </c>
      <c r="D5" t="inlineStr">
        <is>
          <t>Which messages need escalation, a standard draft, a tailored reply or no action?</t>
        </is>
      </c>
      <c r="E5" s="10" t="n">
        <v>46246</v>
      </c>
      <c r="F5" t="inlineStr">
        <is>
          <t>Approved for training</t>
        </is>
      </c>
    </row>
  </sheetData>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F2"/>
  <sheetViews>
    <sheetView showGridLines="0" workbookViewId="0">
      <pane ySplit="1" topLeftCell="A2" activePane="bottomLeft" state="frozen"/>
      <selection pane="bottomLeft" activeCell="A1" sqref="A1"/>
    </sheetView>
  </sheetViews>
  <sheetFormatPr baseColWidth="8" defaultRowHeight="15"/>
  <cols>
    <col width="14" customWidth="1" min="1" max="1"/>
    <col width="24" customWidth="1" min="2" max="2"/>
    <col width="38" customWidth="1" min="3" max="3"/>
    <col width="18" customWidth="1" min="4" max="4"/>
    <col width="18" customWidth="1" min="5" max="5"/>
    <col width="16" customWidth="1" min="6" max="6"/>
  </cols>
  <sheetData>
    <row r="1">
      <c r="A1" s="7" t="inlineStr">
        <is>
          <t>Date</t>
        </is>
      </c>
      <c r="B1" s="7" t="inlineStr">
        <is>
          <t>Check</t>
        </is>
      </c>
      <c r="C1" s="7" t="inlineStr">
        <is>
          <t>Evidence / change</t>
        </is>
      </c>
      <c r="D1" s="7" t="inlineStr">
        <is>
          <t>Owner</t>
        </is>
      </c>
      <c r="E1" s="7" t="inlineStr">
        <is>
          <t>Reviewer</t>
        </is>
      </c>
      <c r="F1" s="7" t="inlineStr">
        <is>
          <t>Status</t>
        </is>
      </c>
    </row>
    <row r="2">
      <c r="A2" s="10" t="n">
        <v>46246</v>
      </c>
      <c r="B2" t="inlineStr">
        <is>
          <t>Starter created</t>
        </is>
      </c>
      <c r="C2" t="inlineStr">
        <is>
          <t>Fictional training workbook generated</t>
        </is>
      </c>
      <c r="D2" t="inlineStr">
        <is>
          <t>Courseware team</t>
        </is>
      </c>
      <c r="E2" t="inlineStr"/>
      <c r="F2" t="inlineStr">
        <is>
          <t>Open</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2026-08-12T05:15:58Z</dcterms:created>
  <dcterms:modified xmlns:dcterms="http://purl.org/dc/terms/" xmlns:xsi="http://www.w3.org/2001/XMLSchema-instance" xsi:type="dcterms:W3CDTF">2026-08-12T05:15:58Z</dcterms:modified>
</cp:coreProperties>
</file>